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1\IdeaProjects\Schedule\src\main\resources\templates\"/>
    </mc:Choice>
  </mc:AlternateContent>
  <xr:revisionPtr revIDLastSave="0" documentId="13_ncr:1_{BDC042FD-B981-4C5D-B154-CD9C41062A2A}" xr6:coauthVersionLast="46" xr6:coauthVersionMax="46" xr10:uidLastSave="{00000000-0000-0000-0000-000000000000}"/>
  <bookViews>
    <workbookView xWindow="-120" yWindow="-120" windowWidth="51840" windowHeight="21240" xr2:uid="{00000000-000D-0000-FFFF-FFFF00000000}"/>
  </bookViews>
  <sheets>
    <sheet name="Расписание" sheetId="1" r:id="rId1"/>
  </sheets>
  <externalReferences>
    <externalReference r:id="rId2"/>
  </externalReferences>
  <definedNames>
    <definedName name="_xlnm.Print_Area" localSheetId="0">Расписание!$A$1:$Z$107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X66" i="1" l="1"/>
  <c r="AW66" i="1"/>
  <c r="AU66" i="1"/>
  <c r="AX65" i="1"/>
  <c r="AW65" i="1"/>
  <c r="AV65" i="1"/>
  <c r="AV64" i="1"/>
  <c r="AK64" i="1"/>
  <c r="AX64" i="1" s="1"/>
  <c r="AV63" i="1"/>
  <c r="AK63" i="1"/>
  <c r="AX63" i="1" s="1"/>
  <c r="AV62" i="1"/>
  <c r="AK62" i="1"/>
  <c r="AW62" i="1" s="1"/>
  <c r="AV61" i="1"/>
  <c r="AK61" i="1"/>
  <c r="AX61" i="1" s="1"/>
  <c r="AV60" i="1"/>
  <c r="AK60" i="1"/>
  <c r="AW60" i="1" s="1"/>
  <c r="AX59" i="1"/>
  <c r="AV59" i="1"/>
  <c r="AK59" i="1"/>
  <c r="AW59" i="1" s="1"/>
  <c r="AV58" i="1"/>
  <c r="AK58" i="1"/>
  <c r="AX58" i="1" s="1"/>
  <c r="AV57" i="1"/>
  <c r="AK57" i="1"/>
  <c r="AX57" i="1" s="1"/>
  <c r="AV56" i="1"/>
  <c r="AK56" i="1"/>
  <c r="AX56" i="1" s="1"/>
  <c r="AX55" i="1"/>
  <c r="AV55" i="1"/>
  <c r="AK55" i="1"/>
  <c r="AW55" i="1" s="1"/>
  <c r="AV54" i="1"/>
  <c r="AK54" i="1"/>
  <c r="AX54" i="1" s="1"/>
  <c r="AV53" i="1"/>
  <c r="AK53" i="1"/>
  <c r="AX53" i="1" s="1"/>
  <c r="AV52" i="1"/>
  <c r="AK52" i="1"/>
  <c r="AW52" i="1" s="1"/>
  <c r="AX51" i="1"/>
  <c r="AV51" i="1"/>
  <c r="AK51" i="1"/>
  <c r="AW51" i="1" s="1"/>
  <c r="AV50" i="1"/>
  <c r="AK50" i="1"/>
  <c r="AX50" i="1" s="1"/>
  <c r="AV49" i="1"/>
  <c r="AK49" i="1"/>
  <c r="AX49" i="1" s="1"/>
  <c r="AV48" i="1"/>
  <c r="AK48" i="1"/>
  <c r="AW48" i="1" s="1"/>
  <c r="AO35" i="1"/>
  <c r="AO31" i="1"/>
  <c r="AV45" i="1"/>
  <c r="AT29" i="1"/>
  <c r="AV40" i="1"/>
  <c r="AK42" i="1"/>
  <c r="AT31" i="1"/>
  <c r="AS32" i="1"/>
  <c r="AM37" i="1"/>
  <c r="AL46" i="1"/>
  <c r="AJ30" i="1"/>
  <c r="AL29" i="1"/>
  <c r="AK39" i="1"/>
  <c r="AL45" i="1"/>
  <c r="AO34" i="1"/>
  <c r="AV35" i="1"/>
  <c r="AP42" i="1"/>
  <c r="AJ43" i="1"/>
  <c r="AS35" i="1"/>
  <c r="AK36" i="1"/>
  <c r="AO32" i="1"/>
  <c r="AU44" i="1"/>
  <c r="AT40" i="1"/>
  <c r="AQ36" i="1"/>
  <c r="AV34" i="1"/>
  <c r="AQ45" i="1"/>
  <c r="AP31" i="1"/>
  <c r="AT38" i="1"/>
  <c r="AU33" i="1"/>
  <c r="AQ41" i="1"/>
  <c r="AQ29" i="1"/>
  <c r="AU36" i="1"/>
  <c r="AU35" i="1"/>
  <c r="AR43" i="1"/>
  <c r="AT30" i="1"/>
  <c r="AP32" i="1"/>
  <c r="AR39" i="1"/>
  <c r="AN40" i="1"/>
  <c r="AM32" i="1"/>
  <c r="AT32" i="1"/>
  <c r="AJ38" i="1"/>
  <c r="AL44" i="1"/>
  <c r="AN41" i="1"/>
  <c r="AR30" i="1"/>
  <c r="AV43" i="1"/>
  <c r="AQ43" i="1"/>
  <c r="AT33" i="1"/>
  <c r="AR37" i="1"/>
  <c r="AV39" i="1"/>
  <c r="AO42" i="1"/>
  <c r="AP44" i="1"/>
  <c r="AP45" i="1"/>
  <c r="AK44" i="1"/>
  <c r="AV31" i="1"/>
  <c r="AQ44" i="1"/>
  <c r="AR34" i="1"/>
  <c r="AS45" i="1"/>
  <c r="AO39" i="1"/>
  <c r="AL33" i="1"/>
  <c r="AS36" i="1"/>
  <c r="AQ30" i="1"/>
  <c r="AP46" i="1"/>
  <c r="AN38" i="1"/>
  <c r="AT34" i="1"/>
  <c r="AL37" i="1"/>
  <c r="AQ37" i="1"/>
  <c r="AU40" i="1"/>
  <c r="AJ36" i="1"/>
  <c r="AT35" i="1"/>
  <c r="AM33" i="1"/>
  <c r="AM40" i="1"/>
  <c r="AQ42" i="1"/>
  <c r="AT42" i="1"/>
  <c r="AO40" i="1"/>
  <c r="AL39" i="1"/>
  <c r="AN46" i="1"/>
  <c r="AT41" i="1"/>
  <c r="AM36" i="1"/>
  <c r="AK30" i="1"/>
  <c r="AK40" i="1"/>
  <c r="AO36" i="1"/>
  <c r="AK45" i="1"/>
  <c r="AR44" i="1"/>
  <c r="AV41" i="1"/>
  <c r="AU45" i="1"/>
  <c r="AJ35" i="1"/>
  <c r="AS42" i="1"/>
  <c r="AL34" i="1"/>
  <c r="AU46" i="1"/>
  <c r="AP43" i="1"/>
  <c r="AJ42" i="1"/>
  <c r="AO29" i="1"/>
  <c r="AP30" i="1"/>
  <c r="AK46" i="1"/>
  <c r="AS29" i="1"/>
  <c r="AO38" i="1"/>
  <c r="AL41" i="1"/>
  <c r="AM46" i="1"/>
  <c r="AQ39" i="1"/>
  <c r="AP41" i="1"/>
  <c r="AU42" i="1"/>
  <c r="AT46" i="1"/>
  <c r="AJ32" i="1"/>
  <c r="AN36" i="1"/>
  <c r="AK35" i="1"/>
  <c r="AO44" i="1"/>
  <c r="AO43" i="1"/>
  <c r="AM34" i="1"/>
  <c r="AQ33" i="1"/>
  <c r="AK33" i="1"/>
  <c r="AJ34" i="1"/>
  <c r="AM43" i="1"/>
  <c r="AO37" i="1"/>
  <c r="AR38" i="1"/>
  <c r="AT37" i="1"/>
  <c r="AN33" i="1"/>
  <c r="AR31" i="1"/>
  <c r="AR40" i="1"/>
  <c r="AN35" i="1"/>
  <c r="AL31" i="1"/>
  <c r="AJ44" i="1"/>
  <c r="AU34" i="1"/>
  <c r="AV46" i="1"/>
  <c r="AN32" i="1"/>
  <c r="AQ40" i="1"/>
  <c r="AQ35" i="1"/>
  <c r="AR41" i="1"/>
  <c r="AL38" i="1"/>
  <c r="AV38" i="1"/>
  <c r="AP34" i="1"/>
  <c r="AU41" i="1"/>
  <c r="AN37" i="1"/>
  <c r="AS44" i="1"/>
  <c r="AV36" i="1"/>
  <c r="AM41" i="1"/>
  <c r="AP40" i="1"/>
  <c r="AT45" i="1"/>
  <c r="AM31" i="1"/>
  <c r="AV42" i="1"/>
  <c r="AV37" i="1"/>
  <c r="AP29" i="1"/>
  <c r="AS41" i="1"/>
  <c r="AL30" i="1"/>
  <c r="AQ31" i="1"/>
  <c r="AT36" i="1"/>
  <c r="AQ32" i="1"/>
  <c r="AO46" i="1"/>
  <c r="AU37" i="1"/>
  <c r="AV33" i="1"/>
  <c r="AR32" i="1"/>
  <c r="AR36" i="1"/>
  <c r="AL36" i="1"/>
  <c r="AO41" i="1"/>
  <c r="AJ29" i="1"/>
  <c r="AM30" i="1"/>
  <c r="AK37" i="1"/>
  <c r="AM29" i="1"/>
  <c r="AS31" i="1"/>
  <c r="AK43" i="1"/>
  <c r="AJ31" i="1"/>
  <c r="AV32" i="1"/>
  <c r="AL32" i="1"/>
  <c r="AU31" i="1"/>
  <c r="AN44" i="1"/>
  <c r="AQ34" i="1"/>
  <c r="AS34" i="1"/>
  <c r="AL35" i="1"/>
  <c r="AJ45" i="1"/>
  <c r="AR46" i="1"/>
  <c r="AL43" i="1"/>
  <c r="AM35" i="1"/>
  <c r="AN43" i="1"/>
  <c r="AP33" i="1"/>
  <c r="AL40" i="1"/>
  <c r="AK41" i="1"/>
  <c r="AQ38" i="1"/>
  <c r="AR33" i="1"/>
  <c r="AU30" i="1"/>
  <c r="AP37" i="1"/>
  <c r="AR35" i="1"/>
  <c r="AU29" i="1"/>
  <c r="AK32" i="1"/>
  <c r="AK38" i="1"/>
  <c r="AJ41" i="1"/>
  <c r="AM38" i="1"/>
  <c r="AJ46" i="1"/>
  <c r="AM44" i="1"/>
  <c r="AT43" i="1"/>
  <c r="AS39" i="1"/>
  <c r="AR42" i="1"/>
  <c r="AP36" i="1"/>
  <c r="AS43" i="1"/>
  <c r="AJ37" i="1"/>
  <c r="AN29" i="1"/>
  <c r="AL42" i="1"/>
  <c r="AP39" i="1"/>
  <c r="AK34" i="1"/>
  <c r="AU32" i="1"/>
  <c r="AS46" i="1"/>
  <c r="AN42" i="1"/>
  <c r="AK29" i="1"/>
  <c r="AO45" i="1"/>
  <c r="AR45" i="1"/>
  <c r="AV29" i="1"/>
  <c r="AJ33" i="1"/>
  <c r="AS30" i="1"/>
  <c r="AJ39" i="1"/>
  <c r="AM45" i="1"/>
  <c r="AU39" i="1"/>
  <c r="AV44" i="1"/>
  <c r="AM42" i="1"/>
  <c r="AN34" i="1"/>
  <c r="AS40" i="1"/>
  <c r="AT39" i="1"/>
  <c r="AK31" i="1"/>
  <c r="AS33" i="1"/>
  <c r="AR29" i="1"/>
  <c r="AJ40" i="1"/>
  <c r="AN31" i="1"/>
  <c r="AQ46" i="1"/>
  <c r="AS38" i="1"/>
  <c r="AV30" i="1"/>
  <c r="AM39" i="1"/>
  <c r="AN30" i="1"/>
  <c r="AN45" i="1"/>
  <c r="AU38" i="1"/>
  <c r="AP35" i="1"/>
  <c r="AT44" i="1"/>
  <c r="AN39" i="1"/>
  <c r="AS37" i="1"/>
  <c r="AO33" i="1"/>
  <c r="AO30" i="1"/>
  <c r="AU43" i="1"/>
  <c r="AP38" i="1"/>
  <c r="AX48" i="1" l="1"/>
  <c r="AX60" i="1"/>
  <c r="AX52" i="1"/>
  <c r="AW53" i="1"/>
  <c r="AW49" i="1"/>
  <c r="AW50" i="1"/>
  <c r="AW54" i="1"/>
  <c r="AW58" i="1"/>
  <c r="AW63" i="1"/>
  <c r="AW56" i="1"/>
  <c r="AV66" i="1"/>
  <c r="AW57" i="1"/>
  <c r="AX62" i="1"/>
  <c r="AW64" i="1"/>
  <c r="AW61" i="1"/>
</calcChain>
</file>

<file path=xl/sharedStrings.xml><?xml version="1.0" encoding="utf-8"?>
<sst xmlns="http://schemas.openxmlformats.org/spreadsheetml/2006/main" count="144" uniqueCount="77">
  <si>
    <t>ФАКУЛЬТЕТ</t>
  </si>
  <si>
    <t>УЧЕБНАЯ ГРУППА</t>
  </si>
  <si>
    <t>АУД.САМОСТ.РАБОТЫ</t>
  </si>
  <si>
    <t>Уч.недели</t>
  </si>
  <si>
    <t>месяц</t>
  </si>
  <si>
    <t>февраль</t>
  </si>
  <si>
    <t>даты</t>
  </si>
  <si>
    <t>Л</t>
  </si>
  <si>
    <t>П</t>
  </si>
  <si>
    <t>1-2</t>
  </si>
  <si>
    <t>9.00-10.35</t>
  </si>
  <si>
    <t>ИЯ</t>
  </si>
  <si>
    <t>3-4</t>
  </si>
  <si>
    <t>10.45-12.20</t>
  </si>
  <si>
    <t>5-6</t>
  </si>
  <si>
    <t>12.30-14.05</t>
  </si>
  <si>
    <t>7-8</t>
  </si>
  <si>
    <t>15.45-17.20</t>
  </si>
  <si>
    <t>ПЗ</t>
  </si>
  <si>
    <t>ЭКЗ</t>
  </si>
  <si>
    <t>ФП</t>
  </si>
  <si>
    <t>С</t>
  </si>
  <si>
    <t>ЛР</t>
  </si>
  <si>
    <t>ГУ</t>
  </si>
  <si>
    <t>КР</t>
  </si>
  <si>
    <t>ИКС</t>
  </si>
  <si>
    <t>ЗО</t>
  </si>
  <si>
    <t>ОВП</t>
  </si>
  <si>
    <t>СР</t>
  </si>
  <si>
    <t>Общ</t>
  </si>
  <si>
    <t>Обозн</t>
  </si>
  <si>
    <t>Дисциплина</t>
  </si>
  <si>
    <t>Каф</t>
  </si>
  <si>
    <t xml:space="preserve">Лектор </t>
  </si>
  <si>
    <t>Другие виды занятий</t>
  </si>
  <si>
    <t>Кол-во часов</t>
  </si>
  <si>
    <t>Отчет</t>
  </si>
  <si>
    <t>Поток         лекционный</t>
  </si>
  <si>
    <t>Дом.задание</t>
  </si>
  <si>
    <t>уч. степень, уч.звание</t>
  </si>
  <si>
    <t>Курс.проект. ЭКЗ</t>
  </si>
  <si>
    <t>вид</t>
  </si>
  <si>
    <t xml:space="preserve"> выд.</t>
  </si>
  <si>
    <t>сдача</t>
  </si>
  <si>
    <t>2023/2024 УЧЕБНЫЙ ГОД</t>
  </si>
  <si>
    <t>РАСПИСАНИЕ УЧЕБНЫХ ЗАНЯТИЙ НА ВЕСЕННИЙ СЕМЕСТР</t>
  </si>
  <si>
    <t>День недели</t>
  </si>
  <si>
    <t>Пн</t>
  </si>
  <si>
    <t>Вт</t>
  </si>
  <si>
    <t>Ср</t>
  </si>
  <si>
    <t>Чт</t>
  </si>
  <si>
    <t>Пт</t>
  </si>
  <si>
    <t>Сб</t>
  </si>
  <si>
    <t>ФЛ</t>
  </si>
  <si>
    <t>СГМ</t>
  </si>
  <si>
    <t>март</t>
  </si>
  <si>
    <t>апрель</t>
  </si>
  <si>
    <t>май</t>
  </si>
  <si>
    <t>июнь</t>
  </si>
  <si>
    <t>июль</t>
  </si>
  <si>
    <t>август</t>
  </si>
  <si>
    <t>КП</t>
  </si>
  <si>
    <t>СКПО</t>
  </si>
  <si>
    <t>ТВМ</t>
  </si>
  <si>
    <t>ДМ</t>
  </si>
  <si>
    <t>ОЭС*</t>
  </si>
  <si>
    <t>ОЭС1</t>
  </si>
  <si>
    <t>ОЭС2</t>
  </si>
  <si>
    <t>ОЭС3</t>
  </si>
  <si>
    <t>РХБЗ</t>
  </si>
  <si>
    <t>ВТ</t>
  </si>
  <si>
    <t>ЗГТ</t>
  </si>
  <si>
    <t>НИР</t>
  </si>
  <si>
    <t>МВ</t>
  </si>
  <si>
    <t>ОТСУ</t>
  </si>
  <si>
    <t>4 пара</t>
  </si>
  <si>
    <t>Пары в сб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</si>
</sst>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"/>
  </numFmts>
  <fonts count="25">
    <font>
      <sz val="11"/>
      <color theme="1"/>
      <name val="Calibri"/>
      <family val="2"/>
      <scheme val="minor"/>
    </font>
    <font>
      <b/>
      <sz val="10"/>
      <name val="Arial Cyr"/>
      <family val="2"/>
      <charset val="204"/>
    </font>
    <font>
      <b/>
      <sz val="10"/>
      <color rgb="FFFF0000"/>
      <name val="Arial Cyr"/>
      <family val="2"/>
      <charset val="204"/>
    </font>
    <font>
      <sz val="10"/>
      <name val="Arial Cyr"/>
      <family val="2"/>
      <charset val="204"/>
    </font>
    <font>
      <b/>
      <sz val="9"/>
      <name val="Arial Cyr"/>
      <family val="2"/>
      <charset val="204"/>
    </font>
    <font>
      <sz val="11"/>
      <color theme="1"/>
      <name val="Calibri"/>
      <family val="2"/>
      <charset val="204"/>
      <scheme val="minor"/>
    </font>
    <font>
      <sz val="9"/>
      <name val="Arial Cyr"/>
      <charset val="204"/>
    </font>
    <font>
      <b/>
      <sz val="10"/>
      <name val="Arial Cyr"/>
      <charset val="204"/>
    </font>
    <font>
      <sz val="12"/>
      <color theme="1"/>
      <name val="Calibri"/>
      <family val="2"/>
      <charset val="204"/>
      <scheme val="minor"/>
    </font>
    <font>
      <sz val="8"/>
      <name val="Arial Cyr"/>
      <charset val="204"/>
    </font>
    <font>
      <sz val="11"/>
      <name val="Arial Cyr"/>
      <charset val="204"/>
    </font>
    <font>
      <sz val="8"/>
      <name val="Arial Cyr"/>
      <family val="2"/>
      <charset val="204"/>
    </font>
    <font>
      <b/>
      <sz val="11"/>
      <name val="Arial Cyr"/>
      <family val="2"/>
      <charset val="204"/>
    </font>
    <font>
      <b/>
      <sz val="11"/>
      <name val="Arial Cyr"/>
      <charset val="204"/>
    </font>
    <font>
      <b/>
      <sz val="11"/>
      <color rgb="FFFF0000"/>
      <name val="Arial Cyr"/>
      <family val="2"/>
      <charset val="204"/>
    </font>
    <font>
      <b/>
      <sz val="9"/>
      <name val="Arial Cyr"/>
      <charset val="204"/>
    </font>
    <font>
      <sz val="11"/>
      <name val="Arial Cyr"/>
      <family val="2"/>
      <charset val="204"/>
    </font>
    <font>
      <sz val="10"/>
      <name val="Arial Cyr"/>
      <charset val="204"/>
    </font>
    <font>
      <sz val="10"/>
      <color theme="1"/>
      <name val="Arial Unicode MS"/>
      <family val="2"/>
      <charset val="204"/>
    </font>
    <font>
      <b/>
      <sz val="13.5"/>
      <color theme="1"/>
      <name val="Arial Unicode MS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sz val="12"/>
      <name val="Arial Cyr"/>
      <charset val="204"/>
    </font>
    <font>
      <sz val="9"/>
      <name val="Arial"/>
      <family val="2"/>
      <charset val="204"/>
    </font>
    <font>
      <b/>
      <sz val="12"/>
      <name val="Arial"/>
      <family val="2"/>
      <charset val="204"/>
    </font>
    <font>
      <b/>
      <sz val="12"/>
      <color theme="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333333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333333"/>
      </left>
      <right style="thin">
        <color rgb="FF000000"/>
      </right>
      <top style="thin">
        <color rgb="FF000000"/>
      </top>
      <bottom/>
      <diagonal/>
    </border>
    <border>
      <left style="thin">
        <color rgb="FF333333"/>
      </left>
      <right style="thin">
        <color rgb="FF000000"/>
      </right>
      <top/>
      <bottom/>
      <diagonal/>
    </border>
    <border>
      <left style="thin">
        <color rgb="FF333333"/>
      </left>
      <right style="thin">
        <color rgb="FF000000"/>
      </right>
      <top/>
      <bottom style="thin">
        <color rgb="FF000000"/>
      </bottom>
      <diagonal/>
    </border>
    <border>
      <left style="thin">
        <color rgb="FF333333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/>
  </cellStyleXfs>
  <cellXfs count="98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horizontal="right"/>
    </xf>
    <xf numFmtId="0" fontId="12" fillId="0" borderId="0" xfId="0" applyFont="1" applyAlignment="1">
      <alignment vertical="center" wrapText="1"/>
    </xf>
    <xf numFmtId="0" fontId="0" fillId="0" borderId="5" xfId="0" applyBorder="1"/>
    <xf numFmtId="0" fontId="12" fillId="0" borderId="5" xfId="0" applyFont="1" applyBorder="1" applyAlignment="1">
      <alignment vertical="center" wrapText="1"/>
    </xf>
    <xf numFmtId="0" fontId="12" fillId="2" borderId="5" xfId="0" applyFont="1" applyFill="1" applyBorder="1" applyAlignment="1">
      <alignment vertical="center" wrapText="1"/>
    </xf>
    <xf numFmtId="0" fontId="0" fillId="0" borderId="5" xfId="0" applyBorder="1" applyAlignment="1">
      <alignment horizontal="right"/>
    </xf>
    <xf numFmtId="0" fontId="0" fillId="0" borderId="0" xfId="0" applyAlignment="1">
      <alignment horizontal="left"/>
    </xf>
    <xf numFmtId="0" fontId="17" fillId="0" borderId="0" xfId="0" applyFont="1"/>
    <xf numFmtId="0" fontId="12" fillId="0" borderId="0" xfId="0" applyFont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20" fillId="0" borderId="0" xfId="0" applyFont="1"/>
    <xf numFmtId="0" fontId="13" fillId="0" borderId="5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0" fillId="2" borderId="0" xfId="0" applyFill="1"/>
    <xf numFmtId="0" fontId="1" fillId="2" borderId="0" xfId="0" applyFont="1" applyFill="1"/>
    <xf numFmtId="0" fontId="3" fillId="2" borderId="0" xfId="0" applyFont="1" applyFill="1"/>
    <xf numFmtId="0" fontId="0" fillId="2" borderId="5" xfId="0" applyFill="1" applyBorder="1"/>
    <xf numFmtId="0" fontId="4" fillId="2" borderId="5" xfId="0" applyFont="1" applyFill="1" applyBorder="1"/>
    <xf numFmtId="0" fontId="22" fillId="2" borderId="5" xfId="1" applyFont="1" applyFill="1" applyBorder="1" applyAlignment="1">
      <alignment horizontal="center"/>
    </xf>
    <xf numFmtId="0" fontId="1" fillId="2" borderId="5" xfId="0" applyFont="1" applyFill="1" applyBorder="1"/>
    <xf numFmtId="164" fontId="8" fillId="2" borderId="5" xfId="0" applyNumberFormat="1" applyFont="1" applyFill="1" applyBorder="1" applyAlignment="1">
      <alignment horizontal="center" vertical="center" wrapText="1"/>
    </xf>
    <xf numFmtId="0" fontId="0" fillId="2" borderId="5" xfId="0" applyFill="1" applyBorder="1" applyAlignment="1">
      <alignment wrapText="1"/>
    </xf>
    <xf numFmtId="49" fontId="0" fillId="2" borderId="9" xfId="0" applyNumberFormat="1" applyFill="1" applyBorder="1" applyAlignment="1">
      <alignment horizontal="center"/>
    </xf>
    <xf numFmtId="49" fontId="6" fillId="2" borderId="9" xfId="0" applyNumberFormat="1" applyFont="1" applyFill="1" applyBorder="1" applyAlignment="1">
      <alignment horizont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right"/>
    </xf>
    <xf numFmtId="49" fontId="9" fillId="2" borderId="9" xfId="0" applyNumberFormat="1" applyFont="1" applyFill="1" applyBorder="1" applyAlignment="1">
      <alignment horizontal="center"/>
    </xf>
    <xf numFmtId="0" fontId="21" fillId="2" borderId="10" xfId="0" applyFont="1" applyFill="1" applyBorder="1" applyAlignment="1">
      <alignment horizontal="center" vertical="center" wrapText="1"/>
    </xf>
    <xf numFmtId="0" fontId="21" fillId="2" borderId="9" xfId="0" applyFont="1" applyFill="1" applyBorder="1" applyAlignment="1">
      <alignment horizontal="center" vertical="center" wrapText="1"/>
    </xf>
    <xf numFmtId="49" fontId="0" fillId="2" borderId="7" xfId="0" applyNumberFormat="1" applyFill="1" applyBorder="1" applyAlignment="1">
      <alignment horizontal="center"/>
    </xf>
    <xf numFmtId="49" fontId="6" fillId="2" borderId="7" xfId="0" applyNumberFormat="1" applyFont="1" applyFill="1" applyBorder="1" applyAlignment="1">
      <alignment horizontal="center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49" fontId="0" fillId="2" borderId="8" xfId="0" applyNumberFormat="1" applyFill="1" applyBorder="1" applyAlignment="1">
      <alignment horizontal="center"/>
    </xf>
    <xf numFmtId="49" fontId="6" fillId="2" borderId="8" xfId="0" applyNumberFormat="1" applyFont="1" applyFill="1" applyBorder="1" applyAlignment="1">
      <alignment horizontal="center"/>
    </xf>
    <xf numFmtId="49" fontId="11" fillId="2" borderId="9" xfId="0" applyNumberFormat="1" applyFont="1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164" fontId="8" fillId="2" borderId="23" xfId="0" applyNumberFormat="1" applyFont="1" applyFill="1" applyBorder="1" applyAlignment="1">
      <alignment horizontal="center" vertical="center" wrapText="1"/>
    </xf>
    <xf numFmtId="164" fontId="8" fillId="2" borderId="11" xfId="0" applyNumberFormat="1" applyFont="1" applyFill="1" applyBorder="1" applyAlignment="1">
      <alignment horizontal="center" vertical="center" wrapText="1"/>
    </xf>
    <xf numFmtId="164" fontId="8" fillId="2" borderId="12" xfId="0" applyNumberFormat="1" applyFont="1" applyFill="1" applyBorder="1" applyAlignment="1">
      <alignment horizontal="center" vertical="center" wrapText="1"/>
    </xf>
    <xf numFmtId="164" fontId="8" fillId="2" borderId="13" xfId="0" applyNumberFormat="1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vertical="center" wrapText="1"/>
    </xf>
    <xf numFmtId="164" fontId="8" fillId="2" borderId="14" xfId="0" applyNumberFormat="1" applyFont="1" applyFill="1" applyBorder="1" applyAlignment="1">
      <alignment horizontal="center" vertical="center" wrapText="1"/>
    </xf>
    <xf numFmtId="164" fontId="8" fillId="2" borderId="15" xfId="0" applyNumberFormat="1" applyFont="1" applyFill="1" applyBorder="1" applyAlignment="1">
      <alignment horizontal="center" vertical="center" wrapText="1"/>
    </xf>
    <xf numFmtId="164" fontId="8" fillId="2" borderId="16" xfId="0" applyNumberFormat="1" applyFont="1" applyFill="1" applyBorder="1" applyAlignment="1">
      <alignment horizontal="center" vertical="center" wrapText="1"/>
    </xf>
    <xf numFmtId="164" fontId="8" fillId="2" borderId="17" xfId="0" applyNumberFormat="1" applyFont="1" applyFill="1" applyBorder="1" applyAlignment="1">
      <alignment horizontal="center" vertical="center" wrapText="1"/>
    </xf>
    <xf numFmtId="0" fontId="15" fillId="2" borderId="5" xfId="0" applyFont="1" applyFill="1" applyBorder="1" applyAlignment="1">
      <alignment horizontal="center" vertical="center"/>
    </xf>
    <xf numFmtId="49" fontId="0" fillId="2" borderId="5" xfId="0" applyNumberForma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49" fontId="3" fillId="2" borderId="5" xfId="0" applyNumberFormat="1" applyFont="1" applyFill="1" applyBorder="1" applyAlignment="1">
      <alignment horizontal="center"/>
    </xf>
    <xf numFmtId="0" fontId="17" fillId="2" borderId="0" xfId="0" applyFont="1" applyFill="1"/>
    <xf numFmtId="0" fontId="3" fillId="2" borderId="5" xfId="0" applyFont="1" applyFill="1" applyBorder="1" applyAlignment="1">
      <alignment horizontal="center"/>
    </xf>
    <xf numFmtId="0" fontId="1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center" vertical="center" wrapText="1"/>
    </xf>
    <xf numFmtId="0" fontId="16" fillId="2" borderId="0" xfId="0" applyFont="1" applyFill="1" applyAlignment="1">
      <alignment horizontal="left" vertical="center" wrapText="1"/>
    </xf>
    <xf numFmtId="49" fontId="1" fillId="2" borderId="0" xfId="0" applyNumberFormat="1" applyFont="1" applyFill="1" applyAlignment="1">
      <alignment horizontal="center" vertical="center" wrapText="1"/>
    </xf>
    <xf numFmtId="49" fontId="17" fillId="2" borderId="0" xfId="0" applyNumberFormat="1" applyFont="1" applyFill="1"/>
    <xf numFmtId="0" fontId="16" fillId="2" borderId="0" xfId="0" applyFont="1" applyFill="1" applyAlignment="1">
      <alignment horizontal="left"/>
    </xf>
    <xf numFmtId="0" fontId="16" fillId="2" borderId="0" xfId="0" applyFont="1" applyFill="1"/>
    <xf numFmtId="0" fontId="0" fillId="2" borderId="0" xfId="0" applyFill="1" applyAlignment="1">
      <alignment horizontal="left"/>
    </xf>
    <xf numFmtId="0" fontId="16" fillId="2" borderId="0" xfId="0" applyFont="1" applyFill="1" applyAlignment="1">
      <alignment horizontal="center"/>
    </xf>
    <xf numFmtId="0" fontId="9" fillId="2" borderId="0" xfId="0" applyFont="1" applyFill="1"/>
    <xf numFmtId="0" fontId="6" fillId="2" borderId="0" xfId="0" applyFont="1" applyFill="1"/>
    <xf numFmtId="0" fontId="24" fillId="2" borderId="5" xfId="0" applyFont="1" applyFill="1" applyBorder="1" applyAlignment="1">
      <alignment horizontal="center" vertical="center"/>
    </xf>
    <xf numFmtId="0" fontId="23" fillId="2" borderId="1" xfId="1" applyFont="1" applyFill="1" applyBorder="1" applyAlignment="1">
      <alignment horizontal="center" vertical="center"/>
    </xf>
    <xf numFmtId="0" fontId="23" fillId="2" borderId="3" xfId="1" applyFont="1" applyFill="1" applyBorder="1" applyAlignment="1">
      <alignment horizontal="center" vertical="center"/>
    </xf>
    <xf numFmtId="0" fontId="23" fillId="2" borderId="2" xfId="1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19" fillId="0" borderId="20" xfId="0" applyFont="1" applyBorder="1" applyAlignment="1">
      <alignment horizontal="center" vertical="center" wrapText="1"/>
    </xf>
    <xf numFmtId="0" fontId="19" fillId="0" borderId="22" xfId="0" applyFont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9" fillId="0" borderId="21" xfId="0" applyFont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shrinkToFit="1"/>
    </xf>
    <xf numFmtId="0" fontId="15" fillId="2" borderId="5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5" fillId="2" borderId="5" xfId="0" applyFont="1" applyFill="1" applyBorder="1" applyAlignment="1">
      <alignment horizontal="center" vertical="top"/>
    </xf>
    <xf numFmtId="0" fontId="0" fillId="2" borderId="5" xfId="0" applyFill="1" applyBorder="1" applyAlignment="1">
      <alignment horizontal="left" vertical="center" wrapText="1"/>
    </xf>
    <xf numFmtId="0" fontId="10" fillId="2" borderId="5" xfId="0" applyFont="1" applyFill="1" applyBorder="1" applyAlignment="1">
      <alignment horizontal="center" vertical="center" wrapText="1"/>
    </xf>
    <xf numFmtId="49" fontId="0" fillId="2" borderId="5" xfId="0" applyNumberFormat="1" applyFill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15" fillId="2" borderId="5" xfId="0" applyFont="1" applyFill="1" applyBorder="1" applyAlignment="1">
      <alignment horizontal="center" vertical="center" wrapText="1"/>
    </xf>
    <xf numFmtId="0" fontId="10" fillId="2" borderId="5" xfId="0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 xr:uid="{11B69E46-8D7B-4C7A-8FFD-1CA87996B8AF}"/>
  </cellStyles>
  <dxfs count="622"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fgColor indexed="64"/>
          <bgColor rgb="FFC6EFCE"/>
        </patternFill>
      </fill>
    </dxf>
    <dxf>
      <fill>
        <patternFill>
          <fgColor indexed="64"/>
          <bgColor rgb="FFFFEB9C"/>
        </patternFill>
      </fill>
    </dxf>
    <dxf>
      <fill>
        <patternFill>
          <fgColor indexed="64"/>
          <bgColor rgb="FFFFC7CE"/>
        </patternFill>
      </fill>
    </dxf>
    <dxf>
      <fill>
        <patternFill>
          <bgColor rgb="FFFFC000"/>
        </patternFill>
      </fill>
    </dxf>
    <dxf>
      <fill>
        <patternFill patternType="solid">
          <bgColor theme="0" tint="-0.24994659260841701"/>
        </patternFill>
      </fill>
    </dxf>
    <dxf>
      <fill>
        <patternFill patternType="solid">
          <bgColor theme="0" tint="-0.24994659260841701"/>
        </patternFill>
      </fill>
    </dxf>
    <dxf>
      <fill>
        <patternFill patternType="solid">
          <bgColor theme="0" tint="-0.24994659260841701"/>
        </patternFill>
      </fill>
    </dxf>
    <dxf>
      <fill>
        <patternFill patternType="solid">
          <bgColor theme="0" tint="-0.24994659260841701"/>
        </patternFill>
      </fill>
    </dxf>
    <dxf>
      <fill>
        <patternFill patternType="solid">
          <bgColor theme="0" tint="-0.24994659260841701"/>
        </patternFill>
      </fill>
    </dxf>
    <dxf>
      <fill>
        <patternFill patternType="solid"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Startup" Target="HandSchedule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definedNames>
      <definedName name="CountGroupsPractic"/>
      <definedName name="CountLectures"/>
      <definedName name="CountLessons"/>
      <definedName name="CountNotLectures"/>
    </defined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>
    <pageSetUpPr fitToPage="1"/>
  </sheetPr>
  <dimension ref="A1:CC106"/>
  <sheetViews>
    <sheetView tabSelected="1" topLeftCell="B1" zoomScale="85" zoomScaleNormal="85" workbookViewId="0">
      <selection activeCell="Q16" sqref="Q16"/>
    </sheetView>
  </sheetViews>
  <sheetFormatPr defaultRowHeight="15"/>
  <cols>
    <col min="1" max="1" width="7.42578125" customWidth="1"/>
    <col min="2" max="2" width="3.85546875" customWidth="1"/>
    <col min="3" max="3" width="9.7109375" customWidth="1"/>
    <col min="4" max="33" width="8.140625" customWidth="1"/>
    <col min="34" max="34" width="8.7109375" customWidth="1"/>
    <col min="35" max="35" width="10.85546875" customWidth="1"/>
    <col min="36" max="36" width="3.7109375" customWidth="1"/>
    <col min="37" max="42" width="4.28515625" customWidth="1"/>
    <col min="43" max="43" width="4.85546875" customWidth="1"/>
    <col min="44" max="45" width="4.7109375" customWidth="1"/>
    <col min="46" max="46" width="3.7109375" customWidth="1"/>
    <col min="47" max="47" width="5.7109375" customWidth="1"/>
    <col min="48" max="81" width="3.7109375" customWidth="1"/>
  </cols>
  <sheetData>
    <row r="1" spans="1:81" ht="12" customHeight="1">
      <c r="B1" s="20"/>
      <c r="C1" s="20"/>
      <c r="D1" s="21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</row>
    <row r="2" spans="1:81" ht="12" customHeight="1">
      <c r="A2" s="16" t="s">
        <v>45</v>
      </c>
      <c r="B2" s="20"/>
      <c r="C2" s="20"/>
      <c r="D2" s="21"/>
      <c r="E2" s="20"/>
      <c r="F2" s="20"/>
      <c r="G2" s="20"/>
      <c r="H2" s="20"/>
      <c r="I2" s="20"/>
      <c r="J2" s="20"/>
      <c r="K2" s="21" t="s">
        <v>0</v>
      </c>
      <c r="L2" s="21"/>
      <c r="M2" s="20"/>
      <c r="N2" s="82"/>
      <c r="O2" s="82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</row>
    <row r="3" spans="1:81" ht="12" customHeight="1">
      <c r="A3" s="16" t="s">
        <v>44</v>
      </c>
      <c r="B3" s="20"/>
      <c r="C3" s="20"/>
      <c r="D3" s="21"/>
      <c r="E3" s="20"/>
      <c r="F3" s="20"/>
      <c r="G3" s="20"/>
      <c r="H3" s="20"/>
      <c r="I3" s="20"/>
      <c r="J3" s="20"/>
      <c r="K3" s="21"/>
      <c r="L3" s="20"/>
      <c r="M3" s="20"/>
      <c r="N3" s="82"/>
      <c r="O3" s="82"/>
      <c r="P3" s="20"/>
      <c r="Q3" s="20"/>
      <c r="R3" s="20"/>
      <c r="S3" s="22" t="s">
        <v>2</v>
      </c>
      <c r="T3" s="22"/>
      <c r="U3" s="22"/>
      <c r="V3" s="22"/>
      <c r="W3" s="84"/>
      <c r="X3" s="85"/>
      <c r="Y3" s="86"/>
      <c r="Z3" s="20"/>
      <c r="AA3" s="20"/>
      <c r="AB3" s="20"/>
      <c r="AC3" s="20"/>
      <c r="AD3" s="20"/>
      <c r="AE3" s="20"/>
      <c r="AF3" s="20"/>
      <c r="AG3" s="20"/>
      <c r="AH3" s="20"/>
      <c r="AI3" s="20"/>
    </row>
    <row r="4" spans="1:81" ht="12" customHeight="1">
      <c r="B4" s="20"/>
      <c r="C4" s="20"/>
      <c r="D4" s="20"/>
      <c r="E4" s="20"/>
      <c r="F4" s="20"/>
      <c r="G4" s="20"/>
      <c r="H4" s="20"/>
      <c r="I4" s="20"/>
      <c r="J4" s="20"/>
      <c r="K4" s="21" t="s">
        <v>1</v>
      </c>
      <c r="L4" s="20"/>
      <c r="M4" s="20"/>
      <c r="N4" s="83"/>
      <c r="O4" s="83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</row>
    <row r="5" spans="1:81" ht="12" customHeight="1">
      <c r="A5" s="15" t="s">
        <v>46</v>
      </c>
      <c r="B5" s="23"/>
      <c r="C5" s="24" t="s">
        <v>3</v>
      </c>
      <c r="D5" s="25">
        <v>1</v>
      </c>
      <c r="E5" s="25">
        <v>2</v>
      </c>
      <c r="F5" s="25">
        <v>3</v>
      </c>
      <c r="G5" s="25">
        <v>4</v>
      </c>
      <c r="H5" s="25">
        <v>5</v>
      </c>
      <c r="I5" s="25">
        <v>6</v>
      </c>
      <c r="J5" s="25">
        <v>7</v>
      </c>
      <c r="K5" s="25">
        <v>8</v>
      </c>
      <c r="L5" s="25">
        <v>9</v>
      </c>
      <c r="M5" s="25">
        <v>10</v>
      </c>
      <c r="N5" s="25">
        <v>11</v>
      </c>
      <c r="O5" s="25">
        <v>12</v>
      </c>
      <c r="P5" s="25">
        <v>13</v>
      </c>
      <c r="Q5" s="25">
        <v>14</v>
      </c>
      <c r="R5" s="25">
        <v>15</v>
      </c>
      <c r="S5" s="25">
        <v>16</v>
      </c>
      <c r="T5" s="25">
        <v>17</v>
      </c>
      <c r="U5" s="25">
        <v>18</v>
      </c>
      <c r="V5" s="25">
        <v>19</v>
      </c>
      <c r="W5" s="25">
        <v>20</v>
      </c>
      <c r="X5" s="25">
        <v>21</v>
      </c>
      <c r="Y5" s="25">
        <v>22</v>
      </c>
      <c r="Z5" s="25">
        <v>23</v>
      </c>
      <c r="AA5" s="25">
        <v>24</v>
      </c>
      <c r="AB5" s="25">
        <v>25</v>
      </c>
      <c r="AC5" s="25">
        <v>26</v>
      </c>
      <c r="AD5" s="25">
        <v>27</v>
      </c>
      <c r="AE5" s="25">
        <v>28</v>
      </c>
      <c r="AF5" s="25">
        <v>29</v>
      </c>
      <c r="AG5" s="25">
        <v>30</v>
      </c>
      <c r="AH5" s="20"/>
      <c r="AI5" s="20"/>
    </row>
    <row r="6" spans="1:81" ht="12" customHeight="1">
      <c r="A6" s="15"/>
      <c r="B6" s="23"/>
      <c r="C6" s="24" t="s">
        <v>4</v>
      </c>
      <c r="D6" s="75" t="s">
        <v>5</v>
      </c>
      <c r="E6" s="76"/>
      <c r="F6" s="76"/>
      <c r="G6" s="77"/>
      <c r="H6" s="75" t="s">
        <v>55</v>
      </c>
      <c r="I6" s="76"/>
      <c r="J6" s="76"/>
      <c r="K6" s="77"/>
      <c r="L6" s="75" t="s">
        <v>56</v>
      </c>
      <c r="M6" s="76"/>
      <c r="N6" s="76"/>
      <c r="O6" s="76"/>
      <c r="P6" s="77"/>
      <c r="Q6" s="75" t="s">
        <v>57</v>
      </c>
      <c r="R6" s="76"/>
      <c r="S6" s="76"/>
      <c r="T6" s="77"/>
      <c r="U6" s="75" t="s">
        <v>58</v>
      </c>
      <c r="V6" s="76"/>
      <c r="W6" s="76"/>
      <c r="X6" s="77"/>
      <c r="Y6" s="75" t="s">
        <v>59</v>
      </c>
      <c r="Z6" s="76"/>
      <c r="AA6" s="76"/>
      <c r="AB6" s="76"/>
      <c r="AC6" s="77"/>
      <c r="AD6" s="74" t="s">
        <v>60</v>
      </c>
      <c r="AE6" s="74"/>
      <c r="AF6" s="74"/>
      <c r="AG6" s="74"/>
      <c r="AH6" s="20"/>
      <c r="AI6" s="20"/>
    </row>
    <row r="7" spans="1:81" ht="15.75">
      <c r="A7" s="15"/>
      <c r="B7" s="24"/>
      <c r="C7" s="26" t="s">
        <v>6</v>
      </c>
      <c r="D7" s="27">
        <v>45166</v>
      </c>
      <c r="E7" s="27">
        <v>45173</v>
      </c>
      <c r="F7" s="27">
        <v>45180</v>
      </c>
      <c r="G7" s="27">
        <v>45187</v>
      </c>
      <c r="H7" s="27">
        <v>45194</v>
      </c>
      <c r="I7" s="27">
        <v>45201</v>
      </c>
      <c r="J7" s="27">
        <v>45208</v>
      </c>
      <c r="K7" s="27">
        <v>45215</v>
      </c>
      <c r="L7" s="27">
        <v>45222</v>
      </c>
      <c r="M7" s="27">
        <v>45229</v>
      </c>
      <c r="N7" s="27">
        <v>45236</v>
      </c>
      <c r="O7" s="27">
        <v>45243</v>
      </c>
      <c r="P7" s="27">
        <v>45250</v>
      </c>
      <c r="Q7" s="27">
        <v>45257</v>
      </c>
      <c r="R7" s="27">
        <v>45264</v>
      </c>
      <c r="S7" s="27">
        <v>45271</v>
      </c>
      <c r="T7" s="27">
        <v>45278</v>
      </c>
      <c r="U7" s="27">
        <v>45285</v>
      </c>
      <c r="V7" s="27">
        <v>45292</v>
      </c>
      <c r="W7" s="27">
        <v>45299</v>
      </c>
      <c r="X7" s="27">
        <v>45306</v>
      </c>
      <c r="Y7" s="27">
        <v>45313</v>
      </c>
      <c r="Z7" s="27">
        <v>45320</v>
      </c>
      <c r="AA7" s="27">
        <v>45327</v>
      </c>
      <c r="AB7" s="27">
        <v>45334</v>
      </c>
      <c r="AC7" s="27">
        <v>45341</v>
      </c>
      <c r="AD7" s="28"/>
      <c r="AE7" s="23"/>
      <c r="AF7" s="23"/>
      <c r="AG7" s="23"/>
      <c r="AH7" s="20"/>
      <c r="AI7" s="20"/>
    </row>
    <row r="8" spans="1:81">
      <c r="A8" s="80" t="s">
        <v>47</v>
      </c>
      <c r="B8" s="29"/>
      <c r="C8" s="30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2"/>
      <c r="AH8" s="33"/>
      <c r="AI8" s="3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</row>
    <row r="9" spans="1:81" ht="15.75">
      <c r="A9" s="80"/>
      <c r="B9" s="29" t="s">
        <v>9</v>
      </c>
      <c r="C9" s="34" t="s">
        <v>10</v>
      </c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6"/>
      <c r="AH9" s="20"/>
      <c r="AI9" s="20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</row>
    <row r="10" spans="1:81">
      <c r="A10" s="80"/>
      <c r="B10" s="37"/>
      <c r="C10" s="38"/>
      <c r="D10" s="39"/>
      <c r="E10" s="39"/>
      <c r="F10" s="39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40"/>
      <c r="AH10" s="20"/>
      <c r="AI10" s="20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</row>
    <row r="11" spans="1:81">
      <c r="A11" s="80"/>
      <c r="B11" s="41"/>
      <c r="C11" s="42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2"/>
      <c r="AH11" s="33"/>
      <c r="AI11" s="3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</row>
    <row r="12" spans="1:81" ht="15.75">
      <c r="A12" s="80"/>
      <c r="B12" s="29" t="s">
        <v>12</v>
      </c>
      <c r="C12" s="43" t="s">
        <v>13</v>
      </c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6"/>
      <c r="AH12" s="20"/>
      <c r="AI12" s="20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</row>
    <row r="13" spans="1:81">
      <c r="A13" s="80"/>
      <c r="B13" s="37"/>
      <c r="C13" s="38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40"/>
      <c r="AH13" s="20"/>
      <c r="AI13" s="20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</row>
    <row r="14" spans="1:81">
      <c r="A14" s="80"/>
      <c r="B14" s="41"/>
      <c r="C14" s="42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2"/>
      <c r="AH14" s="33"/>
      <c r="AI14" s="3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</row>
    <row r="15" spans="1:81" ht="15.75">
      <c r="A15" s="80"/>
      <c r="B15" s="29" t="s">
        <v>14</v>
      </c>
      <c r="C15" s="34" t="s">
        <v>15</v>
      </c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6"/>
      <c r="AH15" s="20"/>
      <c r="AI15" s="20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</row>
    <row r="16" spans="1:81">
      <c r="A16" s="80"/>
      <c r="B16" s="37"/>
      <c r="C16" s="38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40"/>
      <c r="AH16" s="20"/>
      <c r="AI16" s="20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</row>
    <row r="17" spans="1:81">
      <c r="A17" s="80"/>
      <c r="B17" s="41"/>
      <c r="C17" s="42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2"/>
      <c r="AH17" s="33"/>
      <c r="AI17" s="3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</row>
    <row r="18" spans="1:81" ht="15.75">
      <c r="A18" s="80"/>
      <c r="B18" s="29" t="s">
        <v>16</v>
      </c>
      <c r="C18" s="34" t="s">
        <v>17</v>
      </c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6"/>
      <c r="AH18" s="20"/>
      <c r="AI18" s="20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</row>
    <row r="19" spans="1:81">
      <c r="A19" s="87"/>
      <c r="B19" s="37"/>
      <c r="C19" s="38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40"/>
      <c r="AH19" s="20"/>
      <c r="AI19" s="20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</row>
    <row r="20" spans="1:81" ht="15.75">
      <c r="A20" s="14"/>
      <c r="B20" s="44"/>
      <c r="C20" s="45"/>
      <c r="D20" s="27">
        <v>45167</v>
      </c>
      <c r="E20" s="27">
        <v>45174</v>
      </c>
      <c r="F20" s="27">
        <v>45181</v>
      </c>
      <c r="G20" s="27">
        <v>45188</v>
      </c>
      <c r="H20" s="27">
        <v>45195</v>
      </c>
      <c r="I20" s="27">
        <v>45202</v>
      </c>
      <c r="J20" s="27">
        <v>45209</v>
      </c>
      <c r="K20" s="27">
        <v>45216</v>
      </c>
      <c r="L20" s="27">
        <v>45223</v>
      </c>
      <c r="M20" s="27">
        <v>45230</v>
      </c>
      <c r="N20" s="27">
        <v>45237</v>
      </c>
      <c r="O20" s="27">
        <v>45244</v>
      </c>
      <c r="P20" s="46">
        <v>45251</v>
      </c>
      <c r="Q20" s="47">
        <v>45258</v>
      </c>
      <c r="R20" s="47">
        <v>45265</v>
      </c>
      <c r="S20" s="47">
        <v>45272</v>
      </c>
      <c r="T20" s="47">
        <v>45279</v>
      </c>
      <c r="U20" s="47">
        <v>45286</v>
      </c>
      <c r="V20" s="47">
        <v>45293</v>
      </c>
      <c r="W20" s="47">
        <v>45300</v>
      </c>
      <c r="X20" s="47">
        <v>45307</v>
      </c>
      <c r="Y20" s="48">
        <v>45314</v>
      </c>
      <c r="Z20" s="49">
        <v>45321</v>
      </c>
      <c r="AA20" s="49">
        <v>45328</v>
      </c>
      <c r="AB20" s="49">
        <v>45335</v>
      </c>
      <c r="AC20" s="49">
        <v>45342</v>
      </c>
      <c r="AD20" s="28"/>
      <c r="AE20" s="23"/>
      <c r="AF20" s="23"/>
      <c r="AG20" s="23"/>
      <c r="AH20" s="20"/>
      <c r="AI20" s="20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</row>
    <row r="21" spans="1:81">
      <c r="A21" s="79" t="s">
        <v>48</v>
      </c>
      <c r="B21" s="41"/>
      <c r="C21" s="42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2"/>
      <c r="AH21" s="33"/>
      <c r="AI21" s="3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</row>
    <row r="22" spans="1:81" ht="15.75">
      <c r="A22" s="80"/>
      <c r="B22" s="29" t="s">
        <v>9</v>
      </c>
      <c r="C22" s="34" t="s">
        <v>10</v>
      </c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6"/>
      <c r="AH22" s="20"/>
      <c r="AI22" s="20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</row>
    <row r="23" spans="1:81">
      <c r="A23" s="80"/>
      <c r="B23" s="37"/>
      <c r="C23" s="38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40"/>
      <c r="AH23" s="20"/>
      <c r="AI23" s="20"/>
      <c r="AU23" s="4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</row>
    <row r="24" spans="1:81">
      <c r="A24" s="80"/>
      <c r="B24" s="41"/>
      <c r="C24" s="42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2"/>
      <c r="AH24" s="33"/>
      <c r="AI24" s="3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4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</row>
    <row r="25" spans="1:81" ht="15.75">
      <c r="A25" s="80"/>
      <c r="B25" s="29" t="s">
        <v>12</v>
      </c>
      <c r="C25" s="43" t="s">
        <v>13</v>
      </c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6"/>
      <c r="AH25" s="20"/>
      <c r="AI25" s="20"/>
      <c r="AU25" s="4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</row>
    <row r="26" spans="1:81">
      <c r="A26" s="80"/>
      <c r="B26" s="37"/>
      <c r="C26" s="38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40"/>
      <c r="AH26" s="20"/>
      <c r="AI26" s="20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</row>
    <row r="27" spans="1:81">
      <c r="A27" s="80"/>
      <c r="B27" s="41"/>
      <c r="C27" s="42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2"/>
      <c r="AH27" s="20"/>
      <c r="AI27" s="20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</row>
    <row r="28" spans="1:81" ht="15.75">
      <c r="A28" s="80"/>
      <c r="B28" s="29" t="s">
        <v>14</v>
      </c>
      <c r="C28" s="34" t="s">
        <v>15</v>
      </c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6"/>
      <c r="AH28" s="20"/>
      <c r="AI28" s="20"/>
      <c r="AJ28" s="5" t="s">
        <v>7</v>
      </c>
      <c r="AK28" s="5" t="s">
        <v>8</v>
      </c>
      <c r="AL28" s="5" t="s">
        <v>21</v>
      </c>
      <c r="AM28" s="5" t="s">
        <v>22</v>
      </c>
      <c r="AN28" s="5" t="s">
        <v>18</v>
      </c>
      <c r="AO28" s="5" t="s">
        <v>23</v>
      </c>
      <c r="AP28" s="5" t="s">
        <v>61</v>
      </c>
      <c r="AQ28" s="5" t="s">
        <v>24</v>
      </c>
      <c r="AR28" s="5" t="s">
        <v>25</v>
      </c>
      <c r="AS28" s="5" t="s">
        <v>26</v>
      </c>
      <c r="AT28" s="5" t="s">
        <v>19</v>
      </c>
      <c r="AU28" s="3"/>
      <c r="AV28" s="3"/>
      <c r="AW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</row>
    <row r="29" spans="1:81">
      <c r="A29" s="80"/>
      <c r="B29" s="37"/>
      <c r="C29" s="38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40"/>
      <c r="AH29" s="20"/>
      <c r="AI29" s="7" t="s">
        <v>11</v>
      </c>
      <c r="AJ29" s="6">
        <f>[1]!CountLectures(AI29,$AJ$28)</f>
        <v>0</v>
      </c>
      <c r="AK29" s="6">
        <f>[1]!CountNotLectures(AI29,$AK$28)</f>
        <v>0</v>
      </c>
      <c r="AL29" s="6">
        <f>[1]!CountLessons(AI29,$AL$28)</f>
        <v>0</v>
      </c>
      <c r="AM29" s="6">
        <f>[1]!CountLessons(AI29,$AM$28)</f>
        <v>0</v>
      </c>
      <c r="AN29" s="6">
        <f>[1]!CountLessons(AI29,$AN$28)</f>
        <v>0</v>
      </c>
      <c r="AO29" s="6">
        <f>[1]!CountGroupsPractic(AI29,$AO$28)</f>
        <v>0</v>
      </c>
      <c r="AP29" s="6">
        <f>[1]!CountLessons(AI29,$AP$28)</f>
        <v>0</v>
      </c>
      <c r="AQ29" s="6">
        <f>[1]!CountLessons(AI29,$AQ$28)</f>
        <v>0</v>
      </c>
      <c r="AR29" s="6">
        <f>[1]!CountLessons(AI29,$AR$28)</f>
        <v>0</v>
      </c>
      <c r="AS29" s="6">
        <f>[1]!CountLessons(AI29,$AS$28)</f>
        <v>0</v>
      </c>
      <c r="AT29" s="6">
        <f>[1]!CountLessons(AI29,$AT$28)</f>
        <v>0</v>
      </c>
      <c r="AU29" s="3">
        <f>[1]!CountLessons(AI29,$AU$28)</f>
        <v>0</v>
      </c>
      <c r="AV29" s="3">
        <f>[1]!CountLessons(AI29,$AV$28)</f>
        <v>0</v>
      </c>
      <c r="AW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</row>
    <row r="30" spans="1:81">
      <c r="A30" s="80"/>
      <c r="B30" s="41"/>
      <c r="C30" s="42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2"/>
      <c r="AH30" s="20"/>
      <c r="AI30" s="7" t="s">
        <v>53</v>
      </c>
      <c r="AJ30" s="6">
        <f>[1]!CountLectures(AI30,$AJ$28)</f>
        <v>0</v>
      </c>
      <c r="AK30" s="6">
        <f>[1]!CountNotLectures(AI30,$AK$28)</f>
        <v>0</v>
      </c>
      <c r="AL30" s="6">
        <f>[1]!CountLessons(AI30,$AL$28)</f>
        <v>0</v>
      </c>
      <c r="AM30" s="6">
        <f>[1]!CountLessons(AI30,$AM$28)</f>
        <v>0</v>
      </c>
      <c r="AN30" s="6">
        <f>[1]!CountLessons(AI30,$AN$28)</f>
        <v>0</v>
      </c>
      <c r="AO30" s="6">
        <f>[1]!CountGroupsPractic(AI30,$AO$28)</f>
        <v>0</v>
      </c>
      <c r="AP30" s="6">
        <f>[1]!CountLessons(AI30,$AP$28)</f>
        <v>0</v>
      </c>
      <c r="AQ30" s="6">
        <f>[1]!CountLessons(AI30,$AQ$28)</f>
        <v>0</v>
      </c>
      <c r="AR30" s="6">
        <f>[1]!CountLessons(AI30,$AR$28)</f>
        <v>0</v>
      </c>
      <c r="AS30" s="6">
        <f>[1]!CountLessons(AI30,$AS$28)</f>
        <v>0</v>
      </c>
      <c r="AT30" s="6">
        <f>[1]!CountLessons(AI30,$AT$28)</f>
        <v>0</v>
      </c>
      <c r="AU30" s="3">
        <f>[1]!CountLessons(AI30,$AU$28)</f>
        <v>0</v>
      </c>
      <c r="AV30" s="3">
        <f>[1]!CountLessons(AI30,$AV$28)</f>
        <v>0</v>
      </c>
      <c r="AW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</row>
    <row r="31" spans="1:81" ht="15.75">
      <c r="A31" s="80"/>
      <c r="B31" s="29" t="s">
        <v>16</v>
      </c>
      <c r="C31" s="34" t="s">
        <v>17</v>
      </c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6"/>
      <c r="AH31" s="20"/>
      <c r="AI31" s="7" t="s">
        <v>62</v>
      </c>
      <c r="AJ31" s="6">
        <f>[1]!CountLectures(AI31,$AJ$28)</f>
        <v>0</v>
      </c>
      <c r="AK31" s="6">
        <f>[1]!CountNotLectures(AI31,$AK$28)</f>
        <v>0</v>
      </c>
      <c r="AL31" s="6">
        <f>[1]!CountLessons(AI31,$AL$28)</f>
        <v>0</v>
      </c>
      <c r="AM31" s="6">
        <f>[1]!CountLessons(AI31,$AM$28)</f>
        <v>0</v>
      </c>
      <c r="AN31" s="6">
        <f>[1]!CountLessons(AI31,$AN$28)</f>
        <v>0</v>
      </c>
      <c r="AO31" s="6">
        <f>[1]!CountGroupsPractic(AI31,$AO$28)</f>
        <v>0</v>
      </c>
      <c r="AP31" s="6">
        <f>[1]!CountLessons(AI31,$AP$28)</f>
        <v>0</v>
      </c>
      <c r="AQ31" s="6">
        <f>[1]!CountLessons(AI31,$AQ$28)</f>
        <v>0</v>
      </c>
      <c r="AR31" s="6">
        <f>[1]!CountLessons(AI31,$AR$28)</f>
        <v>0</v>
      </c>
      <c r="AS31" s="6">
        <f>[1]!CountLessons(AI31,$AS$28)</f>
        <v>0</v>
      </c>
      <c r="AT31" s="6">
        <f>[1]!CountLessons(AI31,$AT$28)</f>
        <v>0</v>
      </c>
      <c r="AU31" s="3">
        <f>[1]!CountLessons(AI31,$AU$28)</f>
        <v>0</v>
      </c>
      <c r="AV31" s="3">
        <f>[1]!CountLessons(AI31,$AV$28)</f>
        <v>0</v>
      </c>
      <c r="AW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</row>
    <row r="32" spans="1:81">
      <c r="A32" s="87"/>
      <c r="B32" s="37"/>
      <c r="C32" s="38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40"/>
      <c r="AH32" s="20"/>
      <c r="AI32" s="7" t="s">
        <v>63</v>
      </c>
      <c r="AJ32" s="6">
        <f>[1]!CountLectures(AI32,$AJ$28)</f>
        <v>0</v>
      </c>
      <c r="AK32" s="6">
        <f>[1]!CountNotLectures(AI32,$AK$28)</f>
        <v>0</v>
      </c>
      <c r="AL32" s="6">
        <f>[1]!CountLessons(AI32,$AL$28)</f>
        <v>0</v>
      </c>
      <c r="AM32" s="6">
        <f>[1]!CountLessons(AI32,$AM$28)</f>
        <v>0</v>
      </c>
      <c r="AN32" s="6">
        <f>[1]!CountLessons(AI32,$AN$28)</f>
        <v>0</v>
      </c>
      <c r="AO32" s="6">
        <f>[1]!CountGroupsPractic(AI32,$AO$28)</f>
        <v>0</v>
      </c>
      <c r="AP32" s="6">
        <f>[1]!CountLessons(AI32,$AP$28)</f>
        <v>0</v>
      </c>
      <c r="AQ32" s="6">
        <f>[1]!CountLessons(AI32,$AQ$28)</f>
        <v>0</v>
      </c>
      <c r="AR32" s="6">
        <f>[1]!CountLessons(AI32,$AR$28)</f>
        <v>0</v>
      </c>
      <c r="AS32" s="6">
        <f>[1]!CountLessons(AI32,$AS$28)</f>
        <v>0</v>
      </c>
      <c r="AT32" s="6">
        <f>[1]!CountLessons(AI32,$AT$28)</f>
        <v>0</v>
      </c>
      <c r="AU32" s="3">
        <f>[1]!CountLessons(AI32,$AU$28)</f>
        <v>0</v>
      </c>
      <c r="AV32" s="3">
        <f>[1]!CountLessons(AI32,$AV$28)</f>
        <v>0</v>
      </c>
      <c r="AW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</row>
    <row r="33" spans="1:81" ht="15.75">
      <c r="A33" s="14"/>
      <c r="B33" s="44"/>
      <c r="C33" s="45"/>
      <c r="D33" s="47">
        <v>45168</v>
      </c>
      <c r="E33" s="47">
        <v>45175</v>
      </c>
      <c r="F33" s="47">
        <v>45182</v>
      </c>
      <c r="G33" s="47">
        <v>45189</v>
      </c>
      <c r="H33" s="47">
        <v>45196</v>
      </c>
      <c r="I33" s="47">
        <v>45203</v>
      </c>
      <c r="J33" s="47">
        <v>45210</v>
      </c>
      <c r="K33" s="47">
        <v>45217</v>
      </c>
      <c r="L33" s="47">
        <v>45224</v>
      </c>
      <c r="M33" s="47">
        <v>45231</v>
      </c>
      <c r="N33" s="47">
        <v>45238</v>
      </c>
      <c r="O33" s="47">
        <v>45245</v>
      </c>
      <c r="P33" s="47">
        <v>45252</v>
      </c>
      <c r="Q33" s="47">
        <v>45259</v>
      </c>
      <c r="R33" s="47">
        <v>45266</v>
      </c>
      <c r="S33" s="47">
        <v>45273</v>
      </c>
      <c r="T33" s="47">
        <v>45280</v>
      </c>
      <c r="U33" s="47">
        <v>45287</v>
      </c>
      <c r="V33" s="47">
        <v>45294</v>
      </c>
      <c r="W33" s="47">
        <v>45301</v>
      </c>
      <c r="X33" s="47">
        <v>45308</v>
      </c>
      <c r="Y33" s="48">
        <v>45315</v>
      </c>
      <c r="Z33" s="49">
        <v>45322</v>
      </c>
      <c r="AA33" s="49">
        <v>45329</v>
      </c>
      <c r="AB33" s="49">
        <v>45336</v>
      </c>
      <c r="AC33" s="49">
        <v>45336</v>
      </c>
      <c r="AD33" s="49">
        <v>45336</v>
      </c>
      <c r="AE33" s="49">
        <v>45336</v>
      </c>
      <c r="AF33" s="49">
        <v>45336</v>
      </c>
      <c r="AG33" s="23"/>
      <c r="AH33" s="20"/>
      <c r="AI33" s="7" t="s">
        <v>54</v>
      </c>
      <c r="AJ33" s="7">
        <f>[1]!CountLectures(AI33,$AJ$28)</f>
        <v>0</v>
      </c>
      <c r="AK33" s="7">
        <f>[1]!CountNotLectures(AI33,$AK$28)</f>
        <v>0</v>
      </c>
      <c r="AL33" s="7">
        <f>[1]!CountLessons(AI33,$AL$28)</f>
        <v>0</v>
      </c>
      <c r="AM33" s="7">
        <f>[1]!CountLessons(AI33,$AM$28)</f>
        <v>0</v>
      </c>
      <c r="AN33" s="7">
        <f>[1]!CountLessons(AI33,$AN$28)</f>
        <v>0</v>
      </c>
      <c r="AO33" s="7">
        <f>[1]!CountGroupsPractic(AI33,$AO$28)</f>
        <v>0</v>
      </c>
      <c r="AP33" s="7">
        <f>[1]!CountLessons(AI33,$AP$28)</f>
        <v>0</v>
      </c>
      <c r="AQ33" s="7">
        <f>[1]!CountLessons(AI33,$AQ$28)</f>
        <v>0</v>
      </c>
      <c r="AR33" s="7">
        <f>[1]!CountLessons(AI33,$AR$28)</f>
        <v>0</v>
      </c>
      <c r="AS33" s="7">
        <f>[1]!CountLessons(AI33,$AS$28)</f>
        <v>0</v>
      </c>
      <c r="AT33" s="6">
        <f>[1]!CountLessons(AI33,$AT$28)</f>
        <v>0</v>
      </c>
      <c r="AU33" s="3">
        <f>[1]!CountLessons(AI33,$AU$28)</f>
        <v>0</v>
      </c>
      <c r="AV33" s="3">
        <f>[1]!CountLessons(AI33,$AV$28)</f>
        <v>0</v>
      </c>
      <c r="AW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</row>
    <row r="34" spans="1:81">
      <c r="A34" s="79" t="s">
        <v>49</v>
      </c>
      <c r="B34" s="41"/>
      <c r="C34" s="42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2"/>
      <c r="AH34" s="20"/>
      <c r="AI34" s="7" t="s">
        <v>64</v>
      </c>
      <c r="AJ34" s="7">
        <f>[1]!CountLectures(AI34,$AJ$28)</f>
        <v>0</v>
      </c>
      <c r="AK34" s="7">
        <f>[1]!CountNotLectures(AI34,$AK$28)</f>
        <v>0</v>
      </c>
      <c r="AL34" s="7">
        <f>[1]!CountLessons(AI34,$AL$28)</f>
        <v>0</v>
      </c>
      <c r="AM34" s="7">
        <f>[1]!CountLessons(AI34,$AM$28)</f>
        <v>0</v>
      </c>
      <c r="AN34" s="7">
        <f>[1]!CountLessons(AI34,$AN$28)</f>
        <v>0</v>
      </c>
      <c r="AO34" s="7">
        <f>[1]!CountGroupsPractic(AI34,$AO$28)</f>
        <v>0</v>
      </c>
      <c r="AP34" s="7">
        <f>[1]!CountLessons(AI34,$AP$28)</f>
        <v>0</v>
      </c>
      <c r="AQ34" s="7">
        <f>[1]!CountLessons(AI34,$AQ$28)</f>
        <v>0</v>
      </c>
      <c r="AR34" s="7">
        <f>[1]!CountLessons(AI34,$AR$28)</f>
        <v>0</v>
      </c>
      <c r="AS34" s="7">
        <f>[1]!CountLessons(AI34,$AS$28)</f>
        <v>0</v>
      </c>
      <c r="AT34" s="6">
        <f>[1]!CountLessons(AI34,$AT$28)</f>
        <v>0</v>
      </c>
      <c r="AU34" s="3">
        <f>[1]!CountLessons(AI34,$AU$28)</f>
        <v>0</v>
      </c>
      <c r="AV34" s="3">
        <f>[1]!CountLessons(AI34,$AV$28)</f>
        <v>0</v>
      </c>
      <c r="AW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</row>
    <row r="35" spans="1:81" ht="15.75">
      <c r="A35" s="80"/>
      <c r="B35" s="29" t="s">
        <v>9</v>
      </c>
      <c r="C35" s="34" t="s">
        <v>10</v>
      </c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6"/>
      <c r="AH35" s="20"/>
      <c r="AI35" s="50" t="s">
        <v>65</v>
      </c>
      <c r="AJ35" s="7">
        <f>[1]!CountLectures(AI35,$AJ$28)</f>
        <v>0</v>
      </c>
      <c r="AK35" s="7">
        <f>[1]!CountNotLectures(AI35,$AK$28)</f>
        <v>0</v>
      </c>
      <c r="AL35" s="7">
        <f>[1]!CountLessons(AI35,$AL$28)</f>
        <v>0</v>
      </c>
      <c r="AM35" s="7">
        <f>[1]!CountLessons(AI35,$AM$28)</f>
        <v>0</v>
      </c>
      <c r="AN35" s="7">
        <f>[1]!CountLessons(AI35,$AN$28)</f>
        <v>0</v>
      </c>
      <c r="AO35" s="7">
        <f>[1]!CountGroupsPractic(AI35,$AO$28)</f>
        <v>0</v>
      </c>
      <c r="AP35" s="7">
        <f>[1]!CountLessons(AI35,$AP$28)</f>
        <v>0</v>
      </c>
      <c r="AQ35" s="7">
        <f>[1]!CountLessons(AI35,$AQ$28)</f>
        <v>0</v>
      </c>
      <c r="AR35" s="7">
        <f>[1]!CountLessons(AI35,$AR$28)</f>
        <v>0</v>
      </c>
      <c r="AS35" s="7">
        <f>[1]!CountLessons(AI35,$AS$28)</f>
        <v>0</v>
      </c>
      <c r="AT35" s="6">
        <f>[1]!CountLessons(AI35,$AT$28)</f>
        <v>0</v>
      </c>
      <c r="AU35" s="3">
        <f>[1]!CountLessons(AI35,$AU$28)</f>
        <v>0</v>
      </c>
      <c r="AV35" s="3">
        <f>[1]!CountLessons(AI35,$AV$28)</f>
        <v>0</v>
      </c>
      <c r="AW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</row>
    <row r="36" spans="1:81">
      <c r="A36" s="80"/>
      <c r="B36" s="37"/>
      <c r="C36" s="38"/>
      <c r="D36" s="39"/>
      <c r="E36" s="39"/>
      <c r="F36" s="39"/>
      <c r="G36" s="39"/>
      <c r="H36" s="39"/>
      <c r="I36" s="39"/>
      <c r="J36" s="39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40"/>
      <c r="AH36" s="20"/>
      <c r="AI36" s="50" t="s">
        <v>66</v>
      </c>
      <c r="AJ36" s="7">
        <f>[1]!CountLectures(AI36,$AJ$28)</f>
        <v>0</v>
      </c>
      <c r="AK36" s="7">
        <f>[1]!CountNotLectures(AI36,$AK$28)</f>
        <v>0</v>
      </c>
      <c r="AL36" s="7">
        <f>[1]!CountLessons(AI36,$AL$28)</f>
        <v>0</v>
      </c>
      <c r="AM36" s="7">
        <f>[1]!CountLessons(AI36,$AM$28)</f>
        <v>0</v>
      </c>
      <c r="AN36" s="7">
        <f>[1]!CountLessons(AI36,$AN$28)</f>
        <v>0</v>
      </c>
      <c r="AO36" s="7">
        <f>[1]!CountGroupsPractic(AI36,$AO$28)</f>
        <v>0</v>
      </c>
      <c r="AP36" s="7">
        <f>[1]!CountLessons(AI36,$AP$28)</f>
        <v>0</v>
      </c>
      <c r="AQ36" s="7">
        <f>[1]!CountLessons(AI36,$AQ$28)</f>
        <v>0</v>
      </c>
      <c r="AR36" s="7">
        <f>[1]!CountLessons(AI36,$AR$28)</f>
        <v>0</v>
      </c>
      <c r="AS36" s="7">
        <f>[1]!CountLessons(AI36,$AS$28)</f>
        <v>0</v>
      </c>
      <c r="AT36" s="6">
        <f>[1]!CountLessons(AI36,$AT$28)</f>
        <v>0</v>
      </c>
      <c r="AU36" s="3">
        <f>[1]!CountLessons(AI36,$AU$28)</f>
        <v>0</v>
      </c>
      <c r="AV36" s="3">
        <f>[1]!CountLessons(AI36,$AV$28)</f>
        <v>0</v>
      </c>
      <c r="AW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</row>
    <row r="37" spans="1:81">
      <c r="A37" s="80"/>
      <c r="B37" s="41"/>
      <c r="C37" s="42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2"/>
      <c r="AH37" s="20"/>
      <c r="AI37" s="50" t="s">
        <v>67</v>
      </c>
      <c r="AJ37" s="7">
        <f>[1]!CountLectures(AI37,$AJ$28)</f>
        <v>0</v>
      </c>
      <c r="AK37" s="7">
        <f>[1]!CountNotLectures(AI37,$AK$28)</f>
        <v>0</v>
      </c>
      <c r="AL37" s="7">
        <f>[1]!CountLessons(AI37,$AL$28)</f>
        <v>0</v>
      </c>
      <c r="AM37" s="7">
        <f>[1]!CountLessons(AI37,$AM$28)</f>
        <v>0</v>
      </c>
      <c r="AN37" s="7">
        <f>[1]!CountLessons(AI37,$AN$28)</f>
        <v>0</v>
      </c>
      <c r="AO37" s="7">
        <f>[1]!CountGroupsPractic(AI37,$AO$28)</f>
        <v>0</v>
      </c>
      <c r="AP37" s="7">
        <f>[1]!CountLessons(AI37,$AP$28)</f>
        <v>0</v>
      </c>
      <c r="AQ37" s="7">
        <f>[1]!CountLessons(AI37,$AQ$28)</f>
        <v>0</v>
      </c>
      <c r="AR37" s="7">
        <f>[1]!CountLessons(AI37,$AR$28)</f>
        <v>0</v>
      </c>
      <c r="AS37" s="7">
        <f>[1]!CountLessons(AI37,$AS$28)</f>
        <v>0</v>
      </c>
      <c r="AT37" s="6">
        <f>[1]!CountLessons(AI37,$AT$28)</f>
        <v>0</v>
      </c>
      <c r="AU37" s="3">
        <f>[1]!CountLessons(AI37,$AU$28)</f>
        <v>0</v>
      </c>
      <c r="AV37" s="3">
        <f>[1]!CountLessons(AI37,$AV$28)</f>
        <v>0</v>
      </c>
      <c r="AW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</row>
    <row r="38" spans="1:81" ht="15.75">
      <c r="A38" s="80"/>
      <c r="B38" s="29" t="s">
        <v>12</v>
      </c>
      <c r="C38" s="43" t="s">
        <v>13</v>
      </c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6"/>
      <c r="AH38" s="20"/>
      <c r="AI38" s="50" t="s">
        <v>68</v>
      </c>
      <c r="AJ38" s="7">
        <f>[1]!CountLectures(AI38,$AJ$28)</f>
        <v>0</v>
      </c>
      <c r="AK38" s="7">
        <f>[1]!CountNotLectures(AI38,$AK$28)</f>
        <v>0</v>
      </c>
      <c r="AL38" s="7">
        <f>[1]!CountLessons(AI38,$AL$28)</f>
        <v>0</v>
      </c>
      <c r="AM38" s="7">
        <f>[1]!CountLessons(AI38,$AM$28)</f>
        <v>0</v>
      </c>
      <c r="AN38" s="7">
        <f>[1]!CountLessons(AI38,$AN$28)</f>
        <v>0</v>
      </c>
      <c r="AO38" s="7">
        <f>[1]!CountGroupsPractic(AI38,$AO$28)</f>
        <v>0</v>
      </c>
      <c r="AP38" s="7">
        <f>[1]!CountLessons(AI38,$AP$28)</f>
        <v>0</v>
      </c>
      <c r="AQ38" s="7">
        <f>[1]!CountLessons(AI38,$AQ$28)</f>
        <v>0</v>
      </c>
      <c r="AR38" s="7">
        <f>[1]!CountLessons(AI38,$AR$28)</f>
        <v>0</v>
      </c>
      <c r="AS38" s="7">
        <f>[1]!CountLessons(AI38,$AS$28)</f>
        <v>0</v>
      </c>
      <c r="AT38" s="6">
        <f>[1]!CountLessons(AI38,$AT$28)</f>
        <v>0</v>
      </c>
      <c r="AU38" s="3">
        <f>[1]!CountLessons(AI38,$AU$28)</f>
        <v>0</v>
      </c>
      <c r="AV38" s="3">
        <f>[1]!CountLessons(AI38,$AV$28)</f>
        <v>0</v>
      </c>
      <c r="AW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</row>
    <row r="39" spans="1:81">
      <c r="A39" s="80"/>
      <c r="B39" s="37"/>
      <c r="C39" s="38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40"/>
      <c r="AH39" s="20"/>
      <c r="AI39" s="7" t="s">
        <v>69</v>
      </c>
      <c r="AJ39" s="7">
        <f>[1]!CountLectures(AI39,$AJ$28)</f>
        <v>0</v>
      </c>
      <c r="AK39" s="7">
        <f>[1]!CountNotLectures(AI39,$AK$28)</f>
        <v>0</v>
      </c>
      <c r="AL39" s="7">
        <f>[1]!CountLessons(AI39,$AL$28)</f>
        <v>0</v>
      </c>
      <c r="AM39" s="7">
        <f>[1]!CountLessons(AI39,$AM$28)</f>
        <v>0</v>
      </c>
      <c r="AN39" s="7">
        <f>[1]!CountLessons(AI39,$AN$28)</f>
        <v>0</v>
      </c>
      <c r="AO39" s="7">
        <f>[1]!CountGroupsPractic(AI39,$AO$28)</f>
        <v>0</v>
      </c>
      <c r="AP39" s="7">
        <f>[1]!CountLessons(AI39,$AP$28)</f>
        <v>0</v>
      </c>
      <c r="AQ39" s="7">
        <f>[1]!CountLessons(AI39,$AQ$28)</f>
        <v>0</v>
      </c>
      <c r="AR39" s="7">
        <f>[1]!CountLessons(AI39,$AR$28)</f>
        <v>0</v>
      </c>
      <c r="AS39" s="7">
        <f>[1]!CountLessons(AI39,$AS$28)</f>
        <v>0</v>
      </c>
      <c r="AT39" s="6">
        <f>[1]!CountLessons(AI39,$AT$28)</f>
        <v>0</v>
      </c>
      <c r="AU39" s="3">
        <f>[1]!CountLessons(AI39,$AU$28)</f>
        <v>0</v>
      </c>
      <c r="AV39" s="3">
        <f>[1]!CountLessons(AI39,$AV$28)</f>
        <v>0</v>
      </c>
      <c r="AW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</row>
    <row r="40" spans="1:81">
      <c r="A40" s="80"/>
      <c r="B40" s="41"/>
      <c r="C40" s="42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2"/>
      <c r="AH40" s="20"/>
      <c r="AI40" s="7" t="s">
        <v>27</v>
      </c>
      <c r="AJ40" s="7">
        <f>[1]!CountLectures(AI40,$AJ$28)</f>
        <v>0</v>
      </c>
      <c r="AK40" s="7">
        <f>[1]!CountNotLectures(AI40,$AK$28)</f>
        <v>0</v>
      </c>
      <c r="AL40" s="7">
        <f>[1]!CountLessons(AI40,$AL$28)</f>
        <v>0</v>
      </c>
      <c r="AM40" s="7">
        <f>[1]!CountLessons(AI40,$AM$28)</f>
        <v>0</v>
      </c>
      <c r="AN40" s="7">
        <f>[1]!CountLessons(AI40,$AN$28)</f>
        <v>0</v>
      </c>
      <c r="AO40" s="7">
        <f>[1]!CountGroupsPractic(AI40,$AO$28)</f>
        <v>0</v>
      </c>
      <c r="AP40" s="7">
        <f>[1]!CountLessons(AI40,$AP$28)</f>
        <v>0</v>
      </c>
      <c r="AQ40" s="7">
        <f>[1]!CountLessons(AI40,$AQ$28)</f>
        <v>0</v>
      </c>
      <c r="AR40" s="7">
        <f>[1]!CountLessons(AI40,$AR$28)</f>
        <v>0</v>
      </c>
      <c r="AS40" s="7">
        <f>[1]!CountLessons(AI40,$AS$28)</f>
        <v>0</v>
      </c>
      <c r="AT40" s="6">
        <f>[1]!CountLessons(AI40,$AT$28)</f>
        <v>0</v>
      </c>
      <c r="AU40" s="3">
        <f>[1]!CountLessons(AI40,$AU$28)</f>
        <v>0</v>
      </c>
      <c r="AV40" s="3">
        <f>[1]!CountLessons(AI40,$AV$28)</f>
        <v>0</v>
      </c>
      <c r="AW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</row>
    <row r="41" spans="1:81" ht="15.75">
      <c r="A41" s="80"/>
      <c r="B41" s="29" t="s">
        <v>14</v>
      </c>
      <c r="C41" s="34" t="s">
        <v>15</v>
      </c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6"/>
      <c r="AH41" s="20"/>
      <c r="AI41" s="7" t="s">
        <v>70</v>
      </c>
      <c r="AJ41" s="7">
        <f>[1]!CountLectures(AI41,$AJ$28)</f>
        <v>0</v>
      </c>
      <c r="AK41" s="7">
        <f>[1]!CountNotLectures(AI41,$AK$28)</f>
        <v>0</v>
      </c>
      <c r="AL41" s="7">
        <f>[1]!CountLessons(AI41,$AL$28)</f>
        <v>0</v>
      </c>
      <c r="AM41" s="7">
        <f>[1]!CountLessons(AI41,$AM$28)</f>
        <v>0</v>
      </c>
      <c r="AN41" s="7">
        <f>[1]!CountLessons(AI41,$AN$28)</f>
        <v>0</v>
      </c>
      <c r="AO41" s="7">
        <f>[1]!CountGroupsPractic(AI41,$AO$28)</f>
        <v>0</v>
      </c>
      <c r="AP41" s="7">
        <f>[1]!CountLessons(AI41,$AP$28)</f>
        <v>0</v>
      </c>
      <c r="AQ41" s="7">
        <f>[1]!CountLessons(AI41,$AQ$28)</f>
        <v>0</v>
      </c>
      <c r="AR41" s="7">
        <f>[1]!CountLessons(AI41,$AR$28)</f>
        <v>0</v>
      </c>
      <c r="AS41" s="7">
        <f>[1]!CountLessons(AI41,$AS$28)</f>
        <v>0</v>
      </c>
      <c r="AT41" s="6">
        <f>[1]!CountLessons(AI41,$AT$28)</f>
        <v>0</v>
      </c>
      <c r="AU41" s="3">
        <f>[1]!CountLessons(AI41,$AU$28)</f>
        <v>0</v>
      </c>
      <c r="AV41" s="3">
        <f>[1]!CountLessons(AI41,$AV$28)</f>
        <v>0</v>
      </c>
      <c r="AW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</row>
    <row r="42" spans="1:81">
      <c r="A42" s="80"/>
      <c r="B42" s="37"/>
      <c r="C42" s="38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40"/>
      <c r="AH42" s="20"/>
      <c r="AI42" s="7" t="s">
        <v>71</v>
      </c>
      <c r="AJ42" s="7">
        <f>[1]!CountLectures(AI42,$AJ$28)</f>
        <v>0</v>
      </c>
      <c r="AK42" s="7">
        <f>[1]!CountNotLectures(AI42,$AK$28)</f>
        <v>0</v>
      </c>
      <c r="AL42" s="7">
        <f>[1]!CountLessons(AI42,$AL$28)</f>
        <v>0</v>
      </c>
      <c r="AM42" s="7">
        <f>[1]!CountLessons(AI42,$AM$28)</f>
        <v>0</v>
      </c>
      <c r="AN42" s="7">
        <f>[1]!CountLessons(AI42,$AN$28)</f>
        <v>0</v>
      </c>
      <c r="AO42" s="7">
        <f>[1]!CountGroupsPractic(AI42,$AO$28)</f>
        <v>0</v>
      </c>
      <c r="AP42" s="7">
        <f>[1]!CountLessons(AI42,$AP$28)</f>
        <v>0</v>
      </c>
      <c r="AQ42" s="7">
        <f>[1]!CountLessons(AI42,$AQ$28)</f>
        <v>0</v>
      </c>
      <c r="AR42" s="7">
        <f>[1]!CountLessons(AI42,$AR$28)</f>
        <v>0</v>
      </c>
      <c r="AS42" s="7">
        <f>[1]!CountLessons(AI42,$AS$28)</f>
        <v>0</v>
      </c>
      <c r="AT42" s="6">
        <f>[1]!CountLessons(AI42,$AT$28)</f>
        <v>0</v>
      </c>
      <c r="AU42" s="3">
        <f>[1]!CountLessons(AI42,$AU$28)</f>
        <v>0</v>
      </c>
      <c r="AV42" s="3">
        <f>[1]!CountLessons(AI42,$AV$28)</f>
        <v>0</v>
      </c>
      <c r="AW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</row>
    <row r="43" spans="1:81">
      <c r="A43" s="80"/>
      <c r="B43" s="41"/>
      <c r="C43" s="42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2"/>
      <c r="AH43" s="20"/>
      <c r="AI43" s="7" t="s">
        <v>20</v>
      </c>
      <c r="AJ43" s="8">
        <f>[1]!CountLectures(AI43,$AJ$28)</f>
        <v>0</v>
      </c>
      <c r="AK43" s="8">
        <f>[1]!CountNotLectures(AI43,$AK$28)</f>
        <v>0</v>
      </c>
      <c r="AL43" s="8">
        <f>[1]!CountLessons(AI43,$AL$28)</f>
        <v>0</v>
      </c>
      <c r="AM43" s="8">
        <f>[1]!CountLessons(AI43,$AM$28)</f>
        <v>0</v>
      </c>
      <c r="AN43" s="8">
        <f>[1]!CountLessons(AI43,$AN$28)</f>
        <v>0</v>
      </c>
      <c r="AO43" s="8">
        <f>[1]!CountGroupsPractic(AI43,$AO$28)</f>
        <v>0</v>
      </c>
      <c r="AP43" s="8">
        <f>[1]!CountLessons(AI43,$AP$28)</f>
        <v>0</v>
      </c>
      <c r="AQ43" s="8">
        <f>[1]!CountLessons(AI43,$AQ$28)</f>
        <v>0</v>
      </c>
      <c r="AR43" s="8">
        <f>[1]!CountLessons(AI43,$AR$28)</f>
        <v>0</v>
      </c>
      <c r="AS43" s="8">
        <f>[1]!CountLessons(AI43,$AS$28)</f>
        <v>0</v>
      </c>
      <c r="AT43" s="6">
        <f>[1]!CountLessons(AI43,$AT$28)</f>
        <v>0</v>
      </c>
      <c r="AU43" s="3">
        <f>[1]!CountLessons(AI43,$AU$28)</f>
        <v>0</v>
      </c>
      <c r="AV43" s="3">
        <f>[1]!CountLessons(AI43,$AV$28)</f>
        <v>0</v>
      </c>
      <c r="AW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</row>
    <row r="44" spans="1:81" ht="15.75">
      <c r="A44" s="80"/>
      <c r="B44" s="29" t="s">
        <v>16</v>
      </c>
      <c r="C44" s="34" t="s">
        <v>17</v>
      </c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6"/>
      <c r="AH44" s="20"/>
      <c r="AI44" s="7" t="s">
        <v>72</v>
      </c>
      <c r="AJ44" s="5">
        <f>[1]!CountLectures(AI44,$AJ$28)</f>
        <v>0</v>
      </c>
      <c r="AK44" s="5">
        <f>[1]!CountNotLectures(AI44,$AK$28)</f>
        <v>0</v>
      </c>
      <c r="AL44" s="5">
        <f>[1]!CountLessons(AI44,$AL$28)</f>
        <v>0</v>
      </c>
      <c r="AM44" s="5">
        <f>[1]!CountLessons(AI44,$AM$28)</f>
        <v>0</v>
      </c>
      <c r="AN44" s="5">
        <f>[1]!CountLessons(AI44,$AN$28)</f>
        <v>0</v>
      </c>
      <c r="AO44" s="5">
        <f>[1]!CountGroupsPractic(AI44,$AO$28)</f>
        <v>0</v>
      </c>
      <c r="AP44" s="5">
        <f>[1]!CountLessons(AI44,$AP$28)</f>
        <v>0</v>
      </c>
      <c r="AQ44" s="5">
        <f>[1]!CountLessons(AI44,$AQ$28)</f>
        <v>0</v>
      </c>
      <c r="AR44" s="5">
        <f>[1]!CountLessons(AI44,$AR$28)</f>
        <v>0</v>
      </c>
      <c r="AS44" s="5">
        <f>[1]!CountLessons(AI44,$AS$28)</f>
        <v>0</v>
      </c>
      <c r="AT44" s="6">
        <f>[1]!CountLessons(AI44,$AT$28)</f>
        <v>0</v>
      </c>
      <c r="AU44">
        <f>[1]!CountLessons(AI44,$AU$28)</f>
        <v>0</v>
      </c>
      <c r="AV44">
        <f>[1]!CountLessons(AI44,$AV$28)</f>
        <v>0</v>
      </c>
      <c r="AW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</row>
    <row r="45" spans="1:81">
      <c r="A45" s="87"/>
      <c r="B45" s="37"/>
      <c r="C45" s="38"/>
      <c r="D45" s="39"/>
      <c r="E45" s="39"/>
      <c r="F45" s="39"/>
      <c r="G45" s="39"/>
      <c r="H45" s="39"/>
      <c r="I45" s="39"/>
      <c r="J45" s="39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40"/>
      <c r="AH45" s="20"/>
      <c r="AI45" s="50" t="s">
        <v>73</v>
      </c>
      <c r="AJ45" s="5">
        <f>[1]!CountLectures(AI45,$AJ$28)</f>
        <v>0</v>
      </c>
      <c r="AK45" s="5">
        <f>[1]!CountNotLectures(AI45,$AK$28)</f>
        <v>0</v>
      </c>
      <c r="AL45" s="5">
        <f>[1]!CountLessons(AI45,$AL$28)</f>
        <v>0</v>
      </c>
      <c r="AM45" s="5">
        <f>[1]!CountLessons(AI45,$AM$28)</f>
        <v>0</v>
      </c>
      <c r="AN45" s="5">
        <f>[1]!CountLessons(AI45,$AN$28)</f>
        <v>0</v>
      </c>
      <c r="AO45" s="5">
        <f>[1]!CountGroupsPractic(AI45,$AO$28)</f>
        <v>0</v>
      </c>
      <c r="AP45" s="5">
        <f>[1]!CountLessons(AI45,$AP$28)</f>
        <v>0</v>
      </c>
      <c r="AQ45" s="5">
        <f>[1]!CountLessons(AI45,$AQ$28)</f>
        <v>0</v>
      </c>
      <c r="AR45" s="5">
        <f>[1]!CountLessons(AI45,$AR$28)</f>
        <v>0</v>
      </c>
      <c r="AS45" s="5">
        <f>[1]!CountLessons(AI45,$AS$28)</f>
        <v>0</v>
      </c>
      <c r="AT45" s="6">
        <f>[1]!CountLessons(AI45,$AT$28)</f>
        <v>0</v>
      </c>
      <c r="AU45" s="3">
        <f>[1]!CountLessons(AI45,$AU$28)</f>
        <v>0</v>
      </c>
      <c r="AV45" s="3">
        <f>[1]!CountLessons(AI45,$AV$28)</f>
        <v>0</v>
      </c>
      <c r="AW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</row>
    <row r="46" spans="1:81" ht="15.75">
      <c r="A46" s="14"/>
      <c r="B46" s="44"/>
      <c r="C46" s="45"/>
      <c r="D46" s="47">
        <v>45169</v>
      </c>
      <c r="E46" s="47">
        <v>45176</v>
      </c>
      <c r="F46" s="47">
        <v>45183</v>
      </c>
      <c r="G46" s="47">
        <v>45190</v>
      </c>
      <c r="H46" s="47">
        <v>45197</v>
      </c>
      <c r="I46" s="47">
        <v>45204</v>
      </c>
      <c r="J46" s="47">
        <v>45211</v>
      </c>
      <c r="K46" s="47">
        <v>45218</v>
      </c>
      <c r="L46" s="47">
        <v>45225</v>
      </c>
      <c r="M46" s="47">
        <v>45232</v>
      </c>
      <c r="N46" s="47">
        <v>45239</v>
      </c>
      <c r="O46" s="47">
        <v>45246</v>
      </c>
      <c r="P46" s="47">
        <v>45253</v>
      </c>
      <c r="Q46" s="47">
        <v>45260</v>
      </c>
      <c r="R46" s="47">
        <v>45267</v>
      </c>
      <c r="S46" s="47">
        <v>45274</v>
      </c>
      <c r="T46" s="47">
        <v>45281</v>
      </c>
      <c r="U46" s="47">
        <v>45288</v>
      </c>
      <c r="V46" s="47">
        <v>45295</v>
      </c>
      <c r="W46" s="47">
        <v>45302</v>
      </c>
      <c r="X46" s="47">
        <v>45309</v>
      </c>
      <c r="Y46" s="48">
        <v>45316</v>
      </c>
      <c r="Z46" s="51">
        <v>45323</v>
      </c>
      <c r="AA46" s="51">
        <v>45330</v>
      </c>
      <c r="AB46" s="51">
        <v>45337</v>
      </c>
      <c r="AC46" s="49">
        <v>45336</v>
      </c>
      <c r="AD46" s="49">
        <v>45336</v>
      </c>
      <c r="AE46" s="49">
        <v>45336</v>
      </c>
      <c r="AF46" s="49">
        <v>45336</v>
      </c>
      <c r="AG46" s="23"/>
      <c r="AH46" s="20"/>
      <c r="AI46" s="7" t="s">
        <v>74</v>
      </c>
      <c r="AJ46" s="5">
        <f>[1]!CountLectures(AI46,$AJ$28)</f>
        <v>0</v>
      </c>
      <c r="AK46" s="5">
        <f>[1]!CountNotLectures(AI46,$AK$28)</f>
        <v>0</v>
      </c>
      <c r="AL46" s="5">
        <f>[1]!CountLessons(AI46,$AL$28)</f>
        <v>0</v>
      </c>
      <c r="AM46" s="5">
        <f>[1]!CountLessons(AI46,$AM$28)</f>
        <v>0</v>
      </c>
      <c r="AN46" s="5">
        <f>[1]!CountLessons(AI46,$AN$28)</f>
        <v>0</v>
      </c>
      <c r="AO46" s="5">
        <f>[1]!CountGroupsPractic(AI46,$AO$28)</f>
        <v>0</v>
      </c>
      <c r="AP46" s="5">
        <f>[1]!CountLessons(AI46,$AP$28)</f>
        <v>0</v>
      </c>
      <c r="AQ46" s="5">
        <f>[1]!CountLessons(AI46,$AQ$28)</f>
        <v>0</v>
      </c>
      <c r="AR46" s="5">
        <f>[1]!CountLessons(AI46,$AR$28)</f>
        <v>0</v>
      </c>
      <c r="AS46" s="5">
        <f>[1]!CountLessons(AI46,$AS$28)</f>
        <v>0</v>
      </c>
      <c r="AT46" s="6">
        <f>[1]!CountLessons(AI46,$AT$28)</f>
        <v>0</v>
      </c>
      <c r="AU46">
        <f>[1]!CountLessons(AI46,$AU$28)</f>
        <v>0</v>
      </c>
      <c r="AV46">
        <f>[1]!CountLessons(AI46,$AV$28)</f>
        <v>0</v>
      </c>
      <c r="AW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</row>
    <row r="47" spans="1:81">
      <c r="A47" s="79" t="s">
        <v>50</v>
      </c>
      <c r="B47" s="41"/>
      <c r="C47" s="42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2"/>
      <c r="AH47" s="20"/>
      <c r="AI47" s="20"/>
      <c r="AJ47" s="5" t="s">
        <v>7</v>
      </c>
      <c r="AK47" s="5" t="s">
        <v>8</v>
      </c>
      <c r="AL47" s="5" t="s">
        <v>21</v>
      </c>
      <c r="AM47" s="5" t="s">
        <v>22</v>
      </c>
      <c r="AN47" s="5" t="s">
        <v>18</v>
      </c>
      <c r="AO47" s="5" t="s">
        <v>23</v>
      </c>
      <c r="AP47" s="5" t="s">
        <v>61</v>
      </c>
      <c r="AQ47" s="5" t="s">
        <v>24</v>
      </c>
      <c r="AR47" s="5" t="s">
        <v>25</v>
      </c>
      <c r="AS47" s="5" t="s">
        <v>26</v>
      </c>
      <c r="AT47" s="5" t="s">
        <v>19</v>
      </c>
      <c r="AU47" s="3" t="s">
        <v>28</v>
      </c>
      <c r="AV47" s="3" t="s">
        <v>29</v>
      </c>
      <c r="AW47" s="3" t="s">
        <v>75</v>
      </c>
      <c r="AX47" s="9" t="s">
        <v>76</v>
      </c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</row>
    <row r="48" spans="1:81" ht="15.75">
      <c r="A48" s="80"/>
      <c r="B48" s="29" t="s">
        <v>9</v>
      </c>
      <c r="C48" s="34" t="s">
        <v>10</v>
      </c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6"/>
      <c r="AH48" s="20"/>
      <c r="AI48" s="7" t="s">
        <v>11</v>
      </c>
      <c r="AJ48" s="5"/>
      <c r="AK48" s="5">
        <f t="shared" ref="AK48:AK56" si="0">SUM(AL48:AT48)</f>
        <v>54</v>
      </c>
      <c r="AL48" s="5"/>
      <c r="AM48" s="5"/>
      <c r="AN48" s="5">
        <v>44</v>
      </c>
      <c r="AO48" s="5"/>
      <c r="AP48" s="5"/>
      <c r="AQ48" s="5">
        <v>4</v>
      </c>
      <c r="AR48" s="5"/>
      <c r="AS48" s="5"/>
      <c r="AT48" s="5">
        <v>6</v>
      </c>
      <c r="AU48" s="3">
        <v>78</v>
      </c>
      <c r="AV48" s="3">
        <f>SUM(AJ48,AL48:AS48)</f>
        <v>48</v>
      </c>
      <c r="AW48" s="3">
        <f>((SUM(AJ48,(AK48)))*0.1)/2</f>
        <v>2.7</v>
      </c>
      <c r="AX48" s="3">
        <f>((SUM(AJ48,(AK48)))*0.173)/2</f>
        <v>4.6709999999999994</v>
      </c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</row>
    <row r="49" spans="1:81">
      <c r="A49" s="80"/>
      <c r="B49" s="37"/>
      <c r="C49" s="38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40"/>
      <c r="AH49" s="20"/>
      <c r="AI49" s="7" t="s">
        <v>53</v>
      </c>
      <c r="AJ49" s="8">
        <v>24</v>
      </c>
      <c r="AK49" s="5">
        <f>SUM(AL49:AT49)</f>
        <v>30</v>
      </c>
      <c r="AL49" s="8">
        <v>24</v>
      </c>
      <c r="AM49" s="8"/>
      <c r="AN49" s="8"/>
      <c r="AO49" s="8"/>
      <c r="AP49" s="8"/>
      <c r="AQ49" s="8"/>
      <c r="AR49" s="8"/>
      <c r="AS49" s="8"/>
      <c r="AT49" s="8">
        <v>6</v>
      </c>
      <c r="AU49" s="3">
        <v>78</v>
      </c>
      <c r="AV49" s="3">
        <f t="shared" ref="AV49:AV65" si="1">SUM(AJ49,AL49:AS49)</f>
        <v>48</v>
      </c>
      <c r="AW49" s="3">
        <f t="shared" ref="AW49:AW65" si="2">((SUM(AJ49,(AK49)))*0.1)/2</f>
        <v>2.7</v>
      </c>
      <c r="AX49" s="3">
        <f t="shared" ref="AX49:AX66" si="3">((SUM(AJ49,(AK49)))*0.173)/2</f>
        <v>4.6709999999999994</v>
      </c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</row>
    <row r="50" spans="1:81">
      <c r="A50" s="80"/>
      <c r="B50" s="41"/>
      <c r="C50" s="42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2"/>
      <c r="AH50" s="20"/>
      <c r="AI50" s="7" t="s">
        <v>62</v>
      </c>
      <c r="AJ50" s="5">
        <v>44</v>
      </c>
      <c r="AK50" s="5">
        <f t="shared" si="0"/>
        <v>28</v>
      </c>
      <c r="AL50" s="5">
        <v>24</v>
      </c>
      <c r="AM50" s="5"/>
      <c r="AN50" s="5"/>
      <c r="AO50" s="5"/>
      <c r="AP50" s="5"/>
      <c r="AQ50" s="5"/>
      <c r="AR50" s="5"/>
      <c r="AS50" s="5">
        <v>4</v>
      </c>
      <c r="AT50" s="5"/>
      <c r="AU50" s="3">
        <v>48</v>
      </c>
      <c r="AV50" s="3">
        <f>SUM(AJ50,AL50:AS50)</f>
        <v>72</v>
      </c>
      <c r="AW50" s="3">
        <f t="shared" si="2"/>
        <v>3.6</v>
      </c>
      <c r="AX50" s="3">
        <f>((SUM(AJ50,(AK50)))*0.173)/2</f>
        <v>6.2279999999999998</v>
      </c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</row>
    <row r="51" spans="1:81" ht="15.75">
      <c r="A51" s="80"/>
      <c r="B51" s="29" t="s">
        <v>12</v>
      </c>
      <c r="C51" s="43" t="s">
        <v>13</v>
      </c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6"/>
      <c r="AH51" s="20"/>
      <c r="AI51" s="7" t="s">
        <v>63</v>
      </c>
      <c r="AJ51" s="5">
        <v>36</v>
      </c>
      <c r="AK51" s="5">
        <f t="shared" si="0"/>
        <v>36</v>
      </c>
      <c r="AL51" s="5"/>
      <c r="AM51" s="5">
        <v>8</v>
      </c>
      <c r="AN51" s="5">
        <v>26</v>
      </c>
      <c r="AO51" s="5"/>
      <c r="AP51" s="5"/>
      <c r="AQ51" s="5"/>
      <c r="AR51" s="5"/>
      <c r="AS51" s="5">
        <v>2</v>
      </c>
      <c r="AT51" s="5"/>
      <c r="AU51" s="3">
        <v>36</v>
      </c>
      <c r="AV51" s="3">
        <f t="shared" si="1"/>
        <v>72</v>
      </c>
      <c r="AW51" s="3">
        <f t="shared" si="2"/>
        <v>3.6</v>
      </c>
      <c r="AX51" s="3">
        <f t="shared" si="3"/>
        <v>6.2279999999999998</v>
      </c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</row>
    <row r="52" spans="1:81">
      <c r="A52" s="80"/>
      <c r="B52" s="37"/>
      <c r="C52" s="38"/>
      <c r="D52" s="39"/>
      <c r="E52" s="39"/>
      <c r="F52" s="39"/>
      <c r="G52" s="39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40"/>
      <c r="AH52" s="20"/>
      <c r="AI52" s="7" t="s">
        <v>54</v>
      </c>
      <c r="AJ52" s="8">
        <v>28</v>
      </c>
      <c r="AK52" s="5">
        <f t="shared" si="0"/>
        <v>42</v>
      </c>
      <c r="AL52" s="8"/>
      <c r="AM52" s="8">
        <v>2</v>
      </c>
      <c r="AN52" s="8">
        <v>22</v>
      </c>
      <c r="AO52" s="8"/>
      <c r="AP52" s="8">
        <v>16</v>
      </c>
      <c r="AQ52" s="8">
        <v>2</v>
      </c>
      <c r="AR52" s="8"/>
      <c r="AS52" s="8"/>
      <c r="AT52" s="8"/>
      <c r="AU52" s="3">
        <v>24</v>
      </c>
      <c r="AV52" s="3">
        <f t="shared" si="1"/>
        <v>70</v>
      </c>
      <c r="AW52" s="3">
        <f t="shared" si="2"/>
        <v>3.5</v>
      </c>
      <c r="AX52" s="3">
        <f t="shared" si="3"/>
        <v>6.0549999999999997</v>
      </c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</row>
    <row r="53" spans="1:81">
      <c r="A53" s="80"/>
      <c r="B53" s="41"/>
      <c r="C53" s="42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2"/>
      <c r="AH53" s="20"/>
      <c r="AI53" s="7" t="s">
        <v>64</v>
      </c>
      <c r="AJ53" s="8">
        <v>22</v>
      </c>
      <c r="AK53" s="5">
        <f t="shared" si="0"/>
        <v>26</v>
      </c>
      <c r="AL53" s="8"/>
      <c r="AM53" s="8"/>
      <c r="AN53" s="8">
        <v>22</v>
      </c>
      <c r="AO53" s="8"/>
      <c r="AP53" s="8"/>
      <c r="AQ53" s="8">
        <v>2</v>
      </c>
      <c r="AR53" s="8"/>
      <c r="AS53" s="8">
        <v>2</v>
      </c>
      <c r="AT53" s="8"/>
      <c r="AU53" s="3">
        <v>24</v>
      </c>
      <c r="AV53" s="3">
        <f t="shared" si="1"/>
        <v>48</v>
      </c>
      <c r="AW53" s="3">
        <f>((SUM(AJ53,(AK53)))*0.1)/2</f>
        <v>2.4000000000000004</v>
      </c>
      <c r="AX53" s="3">
        <f t="shared" si="3"/>
        <v>4.1519999999999992</v>
      </c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</row>
    <row r="54" spans="1:81" ht="15.75">
      <c r="A54" s="80"/>
      <c r="B54" s="29" t="s">
        <v>14</v>
      </c>
      <c r="C54" s="34" t="s">
        <v>15</v>
      </c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6"/>
      <c r="AH54" s="20"/>
      <c r="AI54" s="50" t="s">
        <v>65</v>
      </c>
      <c r="AJ54" s="5">
        <v>56</v>
      </c>
      <c r="AK54" s="5">
        <f>SUM(AL54:AT54)</f>
        <v>70</v>
      </c>
      <c r="AL54" s="5"/>
      <c r="AM54" s="5"/>
      <c r="AN54" s="5">
        <v>64</v>
      </c>
      <c r="AO54" s="5"/>
      <c r="AP54" s="5"/>
      <c r="AQ54" s="5"/>
      <c r="AR54" s="5"/>
      <c r="AS54" s="5"/>
      <c r="AT54" s="5">
        <v>6</v>
      </c>
      <c r="AU54" s="3">
        <v>24</v>
      </c>
      <c r="AV54" s="3">
        <f t="shared" si="1"/>
        <v>120</v>
      </c>
      <c r="AW54" s="3">
        <f t="shared" si="2"/>
        <v>6.3000000000000007</v>
      </c>
      <c r="AX54" s="3">
        <f t="shared" si="3"/>
        <v>10.898999999999999</v>
      </c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</row>
    <row r="55" spans="1:81">
      <c r="A55" s="80"/>
      <c r="B55" s="37"/>
      <c r="C55" s="38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40"/>
      <c r="AH55" s="20"/>
      <c r="AI55" s="50" t="s">
        <v>66</v>
      </c>
      <c r="AJ55" s="5">
        <v>22</v>
      </c>
      <c r="AK55" s="5">
        <f>SUM(AL55:AT55)</f>
        <v>44</v>
      </c>
      <c r="AL55" s="5"/>
      <c r="AM55" s="5"/>
      <c r="AN55" s="5">
        <v>38</v>
      </c>
      <c r="AO55" s="5"/>
      <c r="AP55" s="5"/>
      <c r="AQ55" s="5"/>
      <c r="AR55" s="5"/>
      <c r="AS55" s="5"/>
      <c r="AT55" s="5">
        <v>6</v>
      </c>
      <c r="AU55" s="3">
        <v>18</v>
      </c>
      <c r="AV55" s="3">
        <f t="shared" si="1"/>
        <v>60</v>
      </c>
      <c r="AW55" s="3">
        <f t="shared" si="2"/>
        <v>3.3000000000000003</v>
      </c>
      <c r="AX55" s="3">
        <f t="shared" si="3"/>
        <v>5.7089999999999996</v>
      </c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</row>
    <row r="56" spans="1:81">
      <c r="A56" s="80"/>
      <c r="B56" s="41"/>
      <c r="C56" s="42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2"/>
      <c r="AH56" s="20"/>
      <c r="AI56" s="50" t="s">
        <v>67</v>
      </c>
      <c r="AJ56" s="5">
        <v>22</v>
      </c>
      <c r="AK56" s="5">
        <f t="shared" si="0"/>
        <v>14</v>
      </c>
      <c r="AL56" s="5"/>
      <c r="AM56" s="5"/>
      <c r="AN56" s="5">
        <v>14</v>
      </c>
      <c r="AO56" s="5"/>
      <c r="AP56" s="5"/>
      <c r="AQ56" s="5"/>
      <c r="AR56" s="5"/>
      <c r="AS56" s="5"/>
      <c r="AT56" s="5"/>
      <c r="AU56" s="3"/>
      <c r="AV56" s="3">
        <f t="shared" si="1"/>
        <v>36</v>
      </c>
      <c r="AW56" s="3">
        <f t="shared" si="2"/>
        <v>1.8</v>
      </c>
      <c r="AX56" s="3">
        <f t="shared" si="3"/>
        <v>3.1139999999999999</v>
      </c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</row>
    <row r="57" spans="1:81" ht="15.75">
      <c r="A57" s="80"/>
      <c r="B57" s="29" t="s">
        <v>16</v>
      </c>
      <c r="C57" s="34" t="s">
        <v>17</v>
      </c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6"/>
      <c r="AH57" s="20"/>
      <c r="AI57" s="50" t="s">
        <v>68</v>
      </c>
      <c r="AJ57" s="5">
        <v>12</v>
      </c>
      <c r="AK57" s="5">
        <f t="shared" ref="AK57:AK61" si="4">SUM(AL57:AT57)</f>
        <v>12</v>
      </c>
      <c r="AL57" s="5"/>
      <c r="AM57" s="5"/>
      <c r="AN57" s="5">
        <v>12</v>
      </c>
      <c r="AO57" s="5"/>
      <c r="AP57" s="5"/>
      <c r="AQ57" s="5"/>
      <c r="AR57" s="5"/>
      <c r="AS57" s="5"/>
      <c r="AT57" s="5"/>
      <c r="AU57" s="3"/>
      <c r="AV57" s="3">
        <f t="shared" si="1"/>
        <v>24</v>
      </c>
      <c r="AW57" s="3">
        <f t="shared" si="2"/>
        <v>1.2000000000000002</v>
      </c>
      <c r="AX57" s="3">
        <f t="shared" si="3"/>
        <v>2.0759999999999996</v>
      </c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</row>
    <row r="58" spans="1:81">
      <c r="A58" s="87"/>
      <c r="B58" s="37"/>
      <c r="C58" s="38"/>
      <c r="D58" s="39"/>
      <c r="E58" s="39"/>
      <c r="F58" s="39"/>
      <c r="G58" s="39"/>
      <c r="H58" s="39"/>
      <c r="I58" s="39"/>
      <c r="J58" s="39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40"/>
      <c r="AH58" s="20"/>
      <c r="AI58" s="7" t="s">
        <v>69</v>
      </c>
      <c r="AJ58" s="5">
        <v>18</v>
      </c>
      <c r="AK58" s="5">
        <f t="shared" si="4"/>
        <v>30</v>
      </c>
      <c r="AL58" s="5">
        <v>8</v>
      </c>
      <c r="AM58" s="5">
        <v>6</v>
      </c>
      <c r="AN58" s="5">
        <v>12</v>
      </c>
      <c r="AO58" s="5"/>
      <c r="AP58" s="5"/>
      <c r="AQ58" s="5"/>
      <c r="AR58" s="5"/>
      <c r="AS58" s="5">
        <v>4</v>
      </c>
      <c r="AT58" s="5"/>
      <c r="AU58" s="3"/>
      <c r="AV58" s="3">
        <f t="shared" si="1"/>
        <v>48</v>
      </c>
      <c r="AW58" s="3">
        <f t="shared" si="2"/>
        <v>2.4000000000000004</v>
      </c>
      <c r="AX58" s="3">
        <f t="shared" si="3"/>
        <v>4.1519999999999992</v>
      </c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</row>
    <row r="59" spans="1:81" ht="15.75">
      <c r="A59" s="14"/>
      <c r="B59" s="44"/>
      <c r="C59" s="45"/>
      <c r="D59" s="47">
        <v>45170</v>
      </c>
      <c r="E59" s="47">
        <v>45177</v>
      </c>
      <c r="F59" s="47">
        <v>45184</v>
      </c>
      <c r="G59" s="47">
        <v>45191</v>
      </c>
      <c r="H59" s="47">
        <v>45198</v>
      </c>
      <c r="I59" s="47">
        <v>45205</v>
      </c>
      <c r="J59" s="47">
        <v>45212</v>
      </c>
      <c r="K59" s="47">
        <v>45219</v>
      </c>
      <c r="L59" s="47">
        <v>45226</v>
      </c>
      <c r="M59" s="47">
        <v>45233</v>
      </c>
      <c r="N59" s="47">
        <v>45240</v>
      </c>
      <c r="O59" s="47">
        <v>45247</v>
      </c>
      <c r="P59" s="47">
        <v>45254</v>
      </c>
      <c r="Q59" s="47">
        <v>45261</v>
      </c>
      <c r="R59" s="47">
        <v>45268</v>
      </c>
      <c r="S59" s="47">
        <v>45275</v>
      </c>
      <c r="T59" s="47">
        <v>45282</v>
      </c>
      <c r="U59" s="47">
        <v>45289</v>
      </c>
      <c r="V59" s="47">
        <v>45296</v>
      </c>
      <c r="W59" s="47">
        <v>45303</v>
      </c>
      <c r="X59" s="48">
        <v>45310</v>
      </c>
      <c r="Y59" s="27">
        <v>45317</v>
      </c>
      <c r="Z59" s="52">
        <v>45324</v>
      </c>
      <c r="AA59" s="52">
        <v>45331</v>
      </c>
      <c r="AB59" s="52">
        <v>45338</v>
      </c>
      <c r="AC59" s="49">
        <v>45336</v>
      </c>
      <c r="AD59" s="49">
        <v>45336</v>
      </c>
      <c r="AE59" s="49">
        <v>45336</v>
      </c>
      <c r="AF59" s="49">
        <v>45336</v>
      </c>
      <c r="AG59" s="49">
        <v>45336</v>
      </c>
      <c r="AH59" s="20"/>
      <c r="AI59" s="7" t="s">
        <v>27</v>
      </c>
      <c r="AJ59" s="5">
        <v>0</v>
      </c>
      <c r="AK59" s="5">
        <f t="shared" si="4"/>
        <v>12</v>
      </c>
      <c r="AL59" s="5"/>
      <c r="AM59" s="5"/>
      <c r="AN59" s="5">
        <v>12</v>
      </c>
      <c r="AO59" s="5"/>
      <c r="AP59" s="5"/>
      <c r="AQ59" s="5"/>
      <c r="AR59" s="5"/>
      <c r="AS59" s="5"/>
      <c r="AT59" s="5"/>
      <c r="AU59" s="3"/>
      <c r="AV59" s="3">
        <f t="shared" si="1"/>
        <v>12</v>
      </c>
      <c r="AW59" s="3">
        <f t="shared" si="2"/>
        <v>0.60000000000000009</v>
      </c>
      <c r="AX59" s="3">
        <f t="shared" si="3"/>
        <v>1.0379999999999998</v>
      </c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</row>
    <row r="60" spans="1:81">
      <c r="A60" s="79" t="s">
        <v>51</v>
      </c>
      <c r="B60" s="41"/>
      <c r="C60" s="42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2"/>
      <c r="AH60" s="20"/>
      <c r="AI60" s="7" t="s">
        <v>70</v>
      </c>
      <c r="AJ60" s="8">
        <v>18</v>
      </c>
      <c r="AK60" s="5">
        <f t="shared" si="4"/>
        <v>54</v>
      </c>
      <c r="AL60" s="8"/>
      <c r="AM60" s="8"/>
      <c r="AN60" s="8">
        <v>48</v>
      </c>
      <c r="AO60" s="8">
        <v>2</v>
      </c>
      <c r="AP60" s="8"/>
      <c r="AQ60" s="8">
        <v>2</v>
      </c>
      <c r="AR60" s="8"/>
      <c r="AS60" s="8">
        <v>2</v>
      </c>
      <c r="AT60" s="8"/>
      <c r="AU60" s="3">
        <v>18</v>
      </c>
      <c r="AV60" s="3">
        <f t="shared" si="1"/>
        <v>72</v>
      </c>
      <c r="AW60" s="3">
        <f t="shared" si="2"/>
        <v>3.6</v>
      </c>
      <c r="AX60" s="3">
        <f t="shared" si="3"/>
        <v>6.2279999999999998</v>
      </c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</row>
    <row r="61" spans="1:81" ht="15.75">
      <c r="A61" s="80"/>
      <c r="B61" s="29" t="s">
        <v>9</v>
      </c>
      <c r="C61" s="34" t="s">
        <v>10</v>
      </c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6"/>
      <c r="AH61" s="20"/>
      <c r="AI61" s="7" t="s">
        <v>71</v>
      </c>
      <c r="AJ61" s="8">
        <v>8</v>
      </c>
      <c r="AK61" s="5">
        <f t="shared" si="4"/>
        <v>4</v>
      </c>
      <c r="AL61" s="8">
        <v>4</v>
      </c>
      <c r="AM61" s="8"/>
      <c r="AN61" s="8"/>
      <c r="AO61" s="8"/>
      <c r="AP61" s="8"/>
      <c r="AQ61" s="8"/>
      <c r="AR61" s="8"/>
      <c r="AS61" s="8"/>
      <c r="AT61" s="8"/>
      <c r="AU61" s="3">
        <v>6</v>
      </c>
      <c r="AV61" s="3">
        <f t="shared" si="1"/>
        <v>12</v>
      </c>
      <c r="AW61" s="3">
        <f t="shared" si="2"/>
        <v>0.60000000000000009</v>
      </c>
      <c r="AX61" s="3">
        <f t="shared" si="3"/>
        <v>1.0379999999999998</v>
      </c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</row>
    <row r="62" spans="1:81">
      <c r="A62" s="80"/>
      <c r="B62" s="37"/>
      <c r="C62" s="38"/>
      <c r="D62" s="39"/>
      <c r="E62" s="39"/>
      <c r="F62" s="39"/>
      <c r="G62" s="39"/>
      <c r="H62" s="39"/>
      <c r="I62" s="39"/>
      <c r="J62" s="39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40"/>
      <c r="AH62" s="20"/>
      <c r="AI62" s="7" t="s">
        <v>20</v>
      </c>
      <c r="AJ62" s="5"/>
      <c r="AK62" s="5">
        <f>SUM(AL62:AT62)</f>
        <v>70</v>
      </c>
      <c r="AL62" s="5"/>
      <c r="AM62" s="5"/>
      <c r="AN62" s="5">
        <v>64</v>
      </c>
      <c r="AO62" s="5"/>
      <c r="AP62" s="5"/>
      <c r="AQ62" s="5"/>
      <c r="AR62" s="5"/>
      <c r="AS62" s="5"/>
      <c r="AT62" s="5">
        <v>6</v>
      </c>
      <c r="AU62" s="3"/>
      <c r="AV62" s="3">
        <f>SUM(AJ62,AL62:AS62)</f>
        <v>64</v>
      </c>
      <c r="AW62" s="3">
        <f t="shared" si="2"/>
        <v>3.5</v>
      </c>
      <c r="AX62" s="3">
        <f t="shared" si="3"/>
        <v>6.0549999999999997</v>
      </c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</row>
    <row r="63" spans="1:81">
      <c r="A63" s="80"/>
      <c r="B63" s="41"/>
      <c r="C63" s="42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2"/>
      <c r="AH63" s="20"/>
      <c r="AI63" s="50" t="s">
        <v>72</v>
      </c>
      <c r="AJ63" s="8">
        <v>2</v>
      </c>
      <c r="AK63" s="5">
        <f>SUM(AL63:AT63)</f>
        <v>22</v>
      </c>
      <c r="AL63" s="8"/>
      <c r="AM63" s="8"/>
      <c r="AN63" s="8">
        <v>22</v>
      </c>
      <c r="AO63" s="8"/>
      <c r="AP63" s="8"/>
      <c r="AQ63" s="8"/>
      <c r="AR63" s="8"/>
      <c r="AS63" s="8"/>
      <c r="AT63" s="8"/>
      <c r="AU63" s="3"/>
      <c r="AV63" s="3">
        <f t="shared" si="1"/>
        <v>24</v>
      </c>
      <c r="AW63" s="3">
        <f t="shared" si="2"/>
        <v>1.2000000000000002</v>
      </c>
      <c r="AX63" s="3">
        <f t="shared" si="3"/>
        <v>2.0759999999999996</v>
      </c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</row>
    <row r="64" spans="1:81" ht="15.75">
      <c r="A64" s="80"/>
      <c r="B64" s="29" t="s">
        <v>12</v>
      </c>
      <c r="C64" s="43" t="s">
        <v>13</v>
      </c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6"/>
      <c r="AH64" s="20"/>
      <c r="AI64" s="50" t="s">
        <v>73</v>
      </c>
      <c r="AJ64" s="8">
        <v>38</v>
      </c>
      <c r="AK64" s="5">
        <f>SUM(AL64:AT64)</f>
        <v>64</v>
      </c>
      <c r="AL64" s="8"/>
      <c r="AM64" s="8">
        <v>30</v>
      </c>
      <c r="AN64" s="8">
        <v>28</v>
      </c>
      <c r="AO64" s="8"/>
      <c r="AP64" s="8"/>
      <c r="AQ64" s="8"/>
      <c r="AR64" s="8"/>
      <c r="AS64" s="8"/>
      <c r="AT64" s="8">
        <v>6</v>
      </c>
      <c r="AU64" s="3"/>
      <c r="AV64" s="3">
        <f t="shared" si="1"/>
        <v>96</v>
      </c>
      <c r="AW64" s="3">
        <f t="shared" si="2"/>
        <v>5.1000000000000005</v>
      </c>
      <c r="AX64" s="3">
        <f t="shared" si="3"/>
        <v>8.8229999999999986</v>
      </c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</row>
    <row r="65" spans="1:81">
      <c r="A65" s="80"/>
      <c r="B65" s="37"/>
      <c r="C65" s="38"/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40"/>
      <c r="AH65" s="20"/>
      <c r="AI65" s="7" t="s">
        <v>74</v>
      </c>
      <c r="AJ65" s="8">
        <v>44</v>
      </c>
      <c r="AK65" s="5"/>
      <c r="AL65" s="8"/>
      <c r="AM65" s="8">
        <v>24</v>
      </c>
      <c r="AN65" s="8">
        <v>24</v>
      </c>
      <c r="AO65" s="8"/>
      <c r="AP65" s="8"/>
      <c r="AQ65" s="8">
        <v>4</v>
      </c>
      <c r="AR65" s="8"/>
      <c r="AS65" s="8"/>
      <c r="AT65" s="8">
        <v>6</v>
      </c>
      <c r="AU65" s="3"/>
      <c r="AV65" s="3">
        <f t="shared" si="1"/>
        <v>96</v>
      </c>
      <c r="AW65" s="3">
        <f t="shared" si="2"/>
        <v>2.2000000000000002</v>
      </c>
      <c r="AX65" s="3">
        <f t="shared" si="3"/>
        <v>3.8059999999999996</v>
      </c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</row>
    <row r="66" spans="1:81">
      <c r="A66" s="80"/>
      <c r="B66" s="41"/>
      <c r="C66" s="42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2"/>
      <c r="AH66" s="20"/>
      <c r="AI66" s="20"/>
      <c r="AU66" s="3">
        <f>SUM(AU49:AU65)</f>
        <v>276</v>
      </c>
      <c r="AV66" s="3">
        <f>SUM(AV49:AV65)</f>
        <v>974</v>
      </c>
      <c r="AW66" s="3">
        <f t="shared" ref="AW66" si="5">((SUM(AJ66,(AK66)))*0.133)/2</f>
        <v>0</v>
      </c>
      <c r="AX66" s="3">
        <f t="shared" si="3"/>
        <v>0</v>
      </c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</row>
    <row r="67" spans="1:81" ht="15.75">
      <c r="A67" s="80"/>
      <c r="B67" s="29" t="s">
        <v>14</v>
      </c>
      <c r="C67" s="34" t="s">
        <v>15</v>
      </c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6"/>
      <c r="AH67" s="20"/>
      <c r="AI67" s="20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</row>
    <row r="68" spans="1:81">
      <c r="A68" s="80"/>
      <c r="B68" s="37"/>
      <c r="C68" s="38"/>
      <c r="D68" s="39"/>
      <c r="E68" s="39"/>
      <c r="F68" s="39"/>
      <c r="G68" s="39"/>
      <c r="H68" s="39"/>
      <c r="I68" s="39"/>
      <c r="J68" s="39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40"/>
      <c r="AH68" s="20"/>
      <c r="AI68" s="20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</row>
    <row r="69" spans="1:81">
      <c r="A69" s="80"/>
      <c r="B69" s="41"/>
      <c r="C69" s="42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2"/>
      <c r="AH69" s="33"/>
      <c r="AI69" s="3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</row>
    <row r="70" spans="1:81" ht="15.75">
      <c r="A70" s="80"/>
      <c r="B70" s="29" t="s">
        <v>16</v>
      </c>
      <c r="C70" s="34" t="s">
        <v>17</v>
      </c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6"/>
      <c r="AH70" s="20"/>
      <c r="AI70" s="20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</row>
    <row r="71" spans="1:81">
      <c r="A71" s="87"/>
      <c r="B71" s="37"/>
      <c r="C71" s="38"/>
      <c r="D71" s="39"/>
      <c r="E71" s="39"/>
      <c r="F71" s="39"/>
      <c r="G71" s="39"/>
      <c r="H71" s="39"/>
      <c r="I71" s="39"/>
      <c r="J71" s="39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40"/>
      <c r="AH71" s="20"/>
      <c r="AI71" s="20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</row>
    <row r="72" spans="1:81" ht="15.75">
      <c r="A72" s="14"/>
      <c r="B72" s="44"/>
      <c r="C72" s="45"/>
      <c r="D72" s="47">
        <v>45171</v>
      </c>
      <c r="E72" s="47">
        <v>45178</v>
      </c>
      <c r="F72" s="47">
        <v>45185</v>
      </c>
      <c r="G72" s="47">
        <v>45192</v>
      </c>
      <c r="H72" s="47">
        <v>45199</v>
      </c>
      <c r="I72" s="47">
        <v>45206</v>
      </c>
      <c r="J72" s="47">
        <v>45213</v>
      </c>
      <c r="K72" s="47">
        <v>45220</v>
      </c>
      <c r="L72" s="47">
        <v>45227</v>
      </c>
      <c r="M72" s="47">
        <v>45234</v>
      </c>
      <c r="N72" s="47">
        <v>45241</v>
      </c>
      <c r="O72" s="47">
        <v>45248</v>
      </c>
      <c r="P72" s="47">
        <v>45255</v>
      </c>
      <c r="Q72" s="47">
        <v>45262</v>
      </c>
      <c r="R72" s="47">
        <v>45269</v>
      </c>
      <c r="S72" s="47">
        <v>45276</v>
      </c>
      <c r="T72" s="47">
        <v>45283</v>
      </c>
      <c r="U72" s="47">
        <v>45290</v>
      </c>
      <c r="V72" s="47">
        <v>45297</v>
      </c>
      <c r="W72" s="47">
        <v>45304</v>
      </c>
      <c r="X72" s="48">
        <v>45311</v>
      </c>
      <c r="Y72" s="53">
        <v>45318</v>
      </c>
      <c r="Z72" s="54">
        <v>45325</v>
      </c>
      <c r="AA72" s="54">
        <v>45332</v>
      </c>
      <c r="AB72" s="54">
        <v>45339</v>
      </c>
      <c r="AC72" s="49">
        <v>45336</v>
      </c>
      <c r="AD72" s="49">
        <v>45336</v>
      </c>
      <c r="AE72" s="49">
        <v>45336</v>
      </c>
      <c r="AF72" s="49">
        <v>45336</v>
      </c>
      <c r="AG72" s="49">
        <v>45336</v>
      </c>
      <c r="AH72" s="20"/>
      <c r="AI72" s="20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</row>
    <row r="73" spans="1:81">
      <c r="A73" s="79" t="s">
        <v>52</v>
      </c>
      <c r="B73" s="41"/>
      <c r="C73" s="42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2"/>
      <c r="AH73" s="33"/>
      <c r="AI73" s="3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</row>
    <row r="74" spans="1:81" ht="15.75">
      <c r="A74" s="80"/>
      <c r="B74" s="29" t="s">
        <v>9</v>
      </c>
      <c r="C74" s="34" t="s">
        <v>10</v>
      </c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6"/>
      <c r="AH74" s="20"/>
      <c r="AI74" s="20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</row>
    <row r="75" spans="1:81">
      <c r="A75" s="80"/>
      <c r="B75" s="37"/>
      <c r="C75" s="38"/>
      <c r="D75" s="39"/>
      <c r="E75" s="39"/>
      <c r="F75" s="39"/>
      <c r="G75" s="39"/>
      <c r="H75" s="39"/>
      <c r="I75" s="39"/>
      <c r="J75" s="39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40"/>
      <c r="AH75" s="20"/>
      <c r="AI75" s="20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</row>
    <row r="76" spans="1:81">
      <c r="A76" s="80"/>
      <c r="B76" s="41"/>
      <c r="C76" s="42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2"/>
      <c r="AH76" s="33"/>
      <c r="AI76" s="3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</row>
    <row r="77" spans="1:81" ht="15.75">
      <c r="A77" s="80"/>
      <c r="B77" s="29" t="s">
        <v>12</v>
      </c>
      <c r="C77" s="43" t="s">
        <v>13</v>
      </c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6"/>
      <c r="AH77" s="20"/>
      <c r="AI77" s="20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</row>
    <row r="78" spans="1:81">
      <c r="A78" s="80"/>
      <c r="B78" s="37"/>
      <c r="C78" s="38"/>
      <c r="D78" s="39"/>
      <c r="E78" s="39"/>
      <c r="F78" s="39"/>
      <c r="G78" s="39"/>
      <c r="H78" s="39"/>
      <c r="I78" s="39"/>
      <c r="J78" s="39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40"/>
      <c r="AH78" s="20"/>
      <c r="AI78" s="20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</row>
    <row r="79" spans="1:81">
      <c r="A79" s="80"/>
      <c r="B79" s="41"/>
      <c r="C79" s="42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2"/>
      <c r="AH79" s="33"/>
      <c r="AI79" s="3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</row>
    <row r="80" spans="1:81" ht="15.75">
      <c r="A80" s="80"/>
      <c r="B80" s="29" t="s">
        <v>14</v>
      </c>
      <c r="C80" s="34" t="s">
        <v>15</v>
      </c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6"/>
      <c r="AH80" s="20"/>
      <c r="AI80" s="20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</row>
    <row r="81" spans="1:81">
      <c r="A81" s="81"/>
      <c r="B81" s="37"/>
      <c r="C81" s="38"/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40"/>
      <c r="AH81" s="20"/>
      <c r="AI81" s="20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</row>
    <row r="82" spans="1:81"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95"/>
      <c r="V82" s="95"/>
      <c r="W82" s="95"/>
      <c r="X82" s="95"/>
      <c r="Y82" s="95"/>
      <c r="Z82" s="95"/>
      <c r="AA82" s="20"/>
      <c r="AB82" s="20"/>
      <c r="AC82" s="20"/>
      <c r="AD82" s="20"/>
      <c r="AE82" s="20"/>
      <c r="AF82" s="20"/>
      <c r="AG82" s="20"/>
      <c r="AH82" s="20"/>
      <c r="AI82" s="20"/>
      <c r="BS82" s="3"/>
      <c r="BT82" s="3"/>
      <c r="BU82" s="3"/>
      <c r="BV82" s="3"/>
      <c r="BW82" s="3"/>
      <c r="BX82" s="3"/>
      <c r="BY82" s="3"/>
      <c r="BZ82" s="3"/>
      <c r="CA82" s="3"/>
    </row>
    <row r="83" spans="1:81" ht="15" customHeight="1">
      <c r="A83" s="78" t="s">
        <v>30</v>
      </c>
      <c r="B83" s="88" t="s">
        <v>31</v>
      </c>
      <c r="C83" s="88"/>
      <c r="D83" s="88"/>
      <c r="E83" s="88"/>
      <c r="F83" s="88"/>
      <c r="G83" s="88"/>
      <c r="H83" s="88"/>
      <c r="I83" s="89" t="s">
        <v>32</v>
      </c>
      <c r="J83" s="90" t="s">
        <v>33</v>
      </c>
      <c r="K83" s="90"/>
      <c r="L83" s="90"/>
      <c r="M83" s="90"/>
      <c r="N83" s="90" t="s">
        <v>34</v>
      </c>
      <c r="O83" s="90"/>
      <c r="P83" s="90"/>
      <c r="Q83" s="90"/>
      <c r="R83" s="96" t="s">
        <v>35</v>
      </c>
      <c r="S83" s="89" t="s">
        <v>36</v>
      </c>
      <c r="T83" s="96" t="s">
        <v>37</v>
      </c>
      <c r="U83" s="96"/>
      <c r="V83" s="89" t="s">
        <v>38</v>
      </c>
      <c r="W83" s="89"/>
      <c r="X83" s="89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</row>
    <row r="84" spans="1:81">
      <c r="A84" s="78"/>
      <c r="B84" s="88"/>
      <c r="C84" s="88"/>
      <c r="D84" s="88"/>
      <c r="E84" s="88"/>
      <c r="F84" s="88"/>
      <c r="G84" s="88"/>
      <c r="H84" s="88"/>
      <c r="I84" s="89"/>
      <c r="J84" s="91" t="s">
        <v>39</v>
      </c>
      <c r="K84" s="91"/>
      <c r="L84" s="91"/>
      <c r="M84" s="91"/>
      <c r="N84" s="90"/>
      <c r="O84" s="90"/>
      <c r="P84" s="90"/>
      <c r="Q84" s="90"/>
      <c r="R84" s="96"/>
      <c r="S84" s="89"/>
      <c r="T84" s="96"/>
      <c r="U84" s="96"/>
      <c r="V84" s="89" t="s">
        <v>40</v>
      </c>
      <c r="W84" s="89"/>
      <c r="X84" s="89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</row>
    <row r="85" spans="1:81">
      <c r="A85" s="78"/>
      <c r="B85" s="88"/>
      <c r="C85" s="88"/>
      <c r="D85" s="88"/>
      <c r="E85" s="88"/>
      <c r="F85" s="88"/>
      <c r="G85" s="88"/>
      <c r="H85" s="88"/>
      <c r="I85" s="89"/>
      <c r="J85" s="91"/>
      <c r="K85" s="91"/>
      <c r="L85" s="91"/>
      <c r="M85" s="91"/>
      <c r="N85" s="90"/>
      <c r="O85" s="90"/>
      <c r="P85" s="90"/>
      <c r="Q85" s="90"/>
      <c r="R85" s="96"/>
      <c r="S85" s="89"/>
      <c r="T85" s="96"/>
      <c r="U85" s="96"/>
      <c r="V85" s="55" t="s">
        <v>41</v>
      </c>
      <c r="W85" s="55" t="s">
        <v>42</v>
      </c>
      <c r="X85" s="55" t="s">
        <v>43</v>
      </c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</row>
    <row r="86" spans="1:81" ht="15" customHeight="1">
      <c r="A86" s="17"/>
      <c r="B86" s="92"/>
      <c r="C86" s="92"/>
      <c r="D86" s="92"/>
      <c r="E86" s="92"/>
      <c r="F86" s="92"/>
      <c r="G86" s="92"/>
      <c r="H86" s="92"/>
      <c r="I86" s="56"/>
      <c r="J86" s="97"/>
      <c r="K86" s="97"/>
      <c r="L86" s="97"/>
      <c r="M86" s="97"/>
      <c r="N86" s="93"/>
      <c r="O86" s="93"/>
      <c r="P86" s="93"/>
      <c r="Q86" s="93"/>
      <c r="R86" s="56"/>
      <c r="S86" s="57"/>
      <c r="T86" s="94"/>
      <c r="U86" s="94"/>
      <c r="V86" s="58"/>
      <c r="W86" s="58"/>
      <c r="X86" s="59"/>
      <c r="Y86" s="20"/>
      <c r="Z86" s="20"/>
      <c r="AA86" s="20"/>
      <c r="AB86" s="20"/>
      <c r="AC86" s="20"/>
      <c r="AD86" s="60"/>
      <c r="AE86" s="60"/>
      <c r="AF86" s="60"/>
      <c r="AG86" s="60"/>
      <c r="AH86" s="60"/>
      <c r="AI86" s="6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  <c r="AX86" s="10"/>
      <c r="AY86" s="10"/>
      <c r="AZ86" s="10"/>
      <c r="BA86" s="10"/>
      <c r="BB86" s="10"/>
      <c r="BC86" s="10"/>
      <c r="BD86" s="10"/>
      <c r="BE86" s="10"/>
      <c r="BF86" s="10"/>
      <c r="BG86" s="10"/>
      <c r="BH86" s="10"/>
      <c r="BI86" s="10"/>
      <c r="BJ86" s="10"/>
      <c r="BK86" s="10"/>
      <c r="BL86" s="10"/>
      <c r="BM86" s="10"/>
      <c r="BN86" s="10"/>
      <c r="BO86" s="10"/>
      <c r="BP86" s="10"/>
      <c r="BQ86" s="10"/>
      <c r="BR86" s="10"/>
      <c r="BS86" s="10"/>
      <c r="BT86" s="10"/>
      <c r="BU86" s="10"/>
      <c r="BV86" s="10"/>
      <c r="BW86" s="10"/>
      <c r="BX86" s="10"/>
      <c r="BY86" s="10"/>
      <c r="BZ86" s="10"/>
      <c r="CA86" s="10"/>
      <c r="CB86" s="10"/>
      <c r="CC86" s="10"/>
    </row>
    <row r="87" spans="1:81" ht="46.5" customHeight="1">
      <c r="A87" s="18"/>
      <c r="B87" s="92"/>
      <c r="C87" s="92"/>
      <c r="D87" s="92"/>
      <c r="E87" s="92"/>
      <c r="F87" s="92"/>
      <c r="G87" s="92"/>
      <c r="H87" s="92"/>
      <c r="I87" s="56"/>
      <c r="J87" s="93"/>
      <c r="K87" s="93"/>
      <c r="L87" s="93"/>
      <c r="M87" s="93"/>
      <c r="N87" s="93"/>
      <c r="O87" s="93"/>
      <c r="P87" s="93"/>
      <c r="Q87" s="93"/>
      <c r="R87" s="56"/>
      <c r="S87" s="57"/>
      <c r="T87" s="94"/>
      <c r="U87" s="94"/>
      <c r="V87" s="58"/>
      <c r="W87" s="58"/>
      <c r="X87" s="59"/>
      <c r="Y87" s="20"/>
      <c r="Z87" s="20"/>
      <c r="AA87" s="20"/>
      <c r="AB87" s="20"/>
      <c r="AC87" s="20"/>
      <c r="AD87" s="60"/>
      <c r="AE87" s="60"/>
      <c r="AF87" s="60"/>
      <c r="AG87" s="60"/>
      <c r="AH87" s="60"/>
      <c r="AI87" s="6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  <c r="AX87" s="10"/>
      <c r="AY87" s="10"/>
      <c r="AZ87" s="10"/>
      <c r="BA87" s="10"/>
      <c r="BB87" s="10"/>
      <c r="BC87" s="10"/>
      <c r="BD87" s="10"/>
      <c r="BE87" s="10"/>
      <c r="BF87" s="10"/>
      <c r="BG87" s="10"/>
      <c r="BH87" s="10"/>
      <c r="BI87" s="10"/>
      <c r="BJ87" s="10"/>
      <c r="BK87" s="10"/>
      <c r="BL87" s="10"/>
      <c r="BM87" s="10"/>
      <c r="BN87" s="10"/>
      <c r="BO87" s="10"/>
      <c r="BP87" s="10"/>
      <c r="BQ87" s="10"/>
      <c r="BR87" s="10"/>
      <c r="BS87" s="10"/>
      <c r="BT87" s="10"/>
      <c r="BU87" s="10"/>
      <c r="BV87" s="10"/>
      <c r="BW87" s="10"/>
      <c r="BX87" s="10"/>
      <c r="BY87" s="10"/>
      <c r="BZ87" s="10"/>
      <c r="CA87" s="10"/>
      <c r="CB87" s="10"/>
      <c r="CC87" s="10"/>
    </row>
    <row r="88" spans="1:81" ht="45.75" customHeight="1">
      <c r="A88" s="18"/>
      <c r="B88" s="92"/>
      <c r="C88" s="92"/>
      <c r="D88" s="92"/>
      <c r="E88" s="92"/>
      <c r="F88" s="92"/>
      <c r="G88" s="92"/>
      <c r="H88" s="92"/>
      <c r="I88" s="56"/>
      <c r="J88" s="93"/>
      <c r="K88" s="93"/>
      <c r="L88" s="93"/>
      <c r="M88" s="93"/>
      <c r="N88" s="93"/>
      <c r="O88" s="93"/>
      <c r="P88" s="93"/>
      <c r="Q88" s="93"/>
      <c r="R88" s="56"/>
      <c r="S88" s="57"/>
      <c r="T88" s="94"/>
      <c r="U88" s="94"/>
      <c r="V88" s="58"/>
      <c r="W88" s="58"/>
      <c r="X88" s="59"/>
      <c r="Y88" s="20"/>
      <c r="Z88" s="20"/>
      <c r="AA88" s="20"/>
      <c r="AB88" s="20"/>
      <c r="AC88" s="20"/>
      <c r="AD88" s="60"/>
      <c r="AE88" s="60"/>
      <c r="AF88" s="60"/>
      <c r="AG88" s="60"/>
      <c r="AH88" s="60"/>
      <c r="AI88" s="6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  <c r="AX88" s="10"/>
      <c r="AY88" s="10"/>
      <c r="AZ88" s="10"/>
      <c r="BA88" s="10"/>
      <c r="BB88" s="10"/>
      <c r="BC88" s="10"/>
      <c r="BD88" s="10"/>
      <c r="BE88" s="10"/>
      <c r="BF88" s="10"/>
      <c r="BG88" s="10"/>
      <c r="BH88" s="10"/>
      <c r="BI88" s="10"/>
      <c r="BJ88" s="10"/>
      <c r="BK88" s="10"/>
      <c r="BL88" s="10"/>
      <c r="BM88" s="10"/>
      <c r="BN88" s="10"/>
      <c r="BO88" s="10"/>
      <c r="BP88" s="10"/>
      <c r="BQ88" s="10"/>
      <c r="BR88" s="10"/>
      <c r="BS88" s="10"/>
      <c r="BT88" s="10"/>
      <c r="BU88" s="10"/>
      <c r="BV88" s="10"/>
      <c r="BW88" s="10"/>
      <c r="BX88" s="10"/>
      <c r="BY88" s="10"/>
      <c r="BZ88" s="10"/>
      <c r="CA88" s="10"/>
      <c r="CB88" s="10"/>
      <c r="CC88" s="10"/>
    </row>
    <row r="89" spans="1:81" ht="42" customHeight="1">
      <c r="A89" s="18"/>
      <c r="B89" s="92"/>
      <c r="C89" s="92"/>
      <c r="D89" s="92"/>
      <c r="E89" s="92"/>
      <c r="F89" s="92"/>
      <c r="G89" s="92"/>
      <c r="H89" s="92"/>
      <c r="I89" s="56"/>
      <c r="J89" s="93"/>
      <c r="K89" s="93"/>
      <c r="L89" s="93"/>
      <c r="M89" s="93"/>
      <c r="N89" s="93"/>
      <c r="O89" s="93"/>
      <c r="P89" s="93"/>
      <c r="Q89" s="93"/>
      <c r="R89" s="56"/>
      <c r="S89" s="57"/>
      <c r="T89" s="94"/>
      <c r="U89" s="94"/>
      <c r="V89" s="58"/>
      <c r="W89" s="58"/>
      <c r="X89" s="59"/>
      <c r="Y89" s="20"/>
      <c r="Z89" s="20"/>
      <c r="AA89" s="20"/>
      <c r="AB89" s="20"/>
      <c r="AC89" s="20"/>
      <c r="AD89" s="60"/>
      <c r="AE89" s="60"/>
      <c r="AF89" s="60"/>
      <c r="AG89" s="60"/>
      <c r="AH89" s="60"/>
      <c r="AI89" s="6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  <c r="AX89" s="10"/>
      <c r="AY89" s="10"/>
      <c r="AZ89" s="10"/>
      <c r="BA89" s="10"/>
      <c r="BB89" s="10"/>
      <c r="BC89" s="10"/>
      <c r="BD89" s="10"/>
      <c r="BE89" s="10"/>
      <c r="BF89" s="10"/>
      <c r="BG89" s="10"/>
      <c r="BH89" s="10"/>
      <c r="BI89" s="10"/>
      <c r="BJ89" s="10"/>
      <c r="BK89" s="10"/>
      <c r="BL89" s="10"/>
      <c r="BM89" s="10"/>
      <c r="BN89" s="10"/>
      <c r="BO89" s="10"/>
      <c r="BP89" s="10"/>
      <c r="BQ89" s="10"/>
      <c r="BR89" s="10"/>
      <c r="BS89" s="10"/>
      <c r="BT89" s="10"/>
      <c r="BU89" s="10"/>
      <c r="BV89" s="10"/>
      <c r="BW89" s="10"/>
      <c r="BX89" s="10"/>
      <c r="BY89" s="10"/>
      <c r="BZ89" s="10"/>
      <c r="CA89" s="10"/>
      <c r="CB89" s="10"/>
      <c r="CC89" s="10"/>
    </row>
    <row r="90" spans="1:81" ht="27" customHeight="1">
      <c r="A90" s="19"/>
      <c r="B90" s="92"/>
      <c r="C90" s="92"/>
      <c r="D90" s="92"/>
      <c r="E90" s="92"/>
      <c r="F90" s="92"/>
      <c r="G90" s="92"/>
      <c r="H90" s="92"/>
      <c r="I90" s="56"/>
      <c r="J90" s="93"/>
      <c r="K90" s="93"/>
      <c r="L90" s="93"/>
      <c r="M90" s="93"/>
      <c r="N90" s="93"/>
      <c r="O90" s="93"/>
      <c r="P90" s="93"/>
      <c r="Q90" s="93"/>
      <c r="R90" s="56"/>
      <c r="S90" s="57"/>
      <c r="T90" s="94"/>
      <c r="U90" s="94"/>
      <c r="V90" s="58"/>
      <c r="W90" s="58"/>
      <c r="X90" s="59"/>
      <c r="Y90" s="20"/>
      <c r="Z90" s="20"/>
      <c r="AA90" s="20"/>
      <c r="AB90" s="20"/>
      <c r="AC90" s="20"/>
      <c r="AD90" s="60"/>
      <c r="AE90" s="60"/>
      <c r="AF90" s="60"/>
      <c r="AG90" s="60"/>
      <c r="AH90" s="60"/>
      <c r="AI90" s="6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  <c r="AX90" s="10"/>
      <c r="AY90" s="10"/>
      <c r="AZ90" s="10"/>
      <c r="BA90" s="10"/>
      <c r="BB90" s="10"/>
      <c r="BC90" s="10"/>
      <c r="BD90" s="10"/>
      <c r="BE90" s="10"/>
      <c r="BF90" s="10"/>
      <c r="BG90" s="10"/>
      <c r="BH90" s="10"/>
      <c r="BI90" s="10"/>
      <c r="BJ90" s="10"/>
      <c r="BK90" s="10"/>
      <c r="BL90" s="10"/>
      <c r="BM90" s="10"/>
      <c r="BN90" s="10"/>
      <c r="BO90" s="10"/>
      <c r="BP90" s="10"/>
      <c r="BQ90" s="10"/>
      <c r="BR90" s="10"/>
      <c r="BS90" s="10"/>
      <c r="BT90" s="10"/>
      <c r="BU90" s="10"/>
      <c r="BV90" s="10"/>
      <c r="BW90" s="10"/>
      <c r="BX90" s="10"/>
      <c r="BY90" s="10"/>
      <c r="BZ90" s="10"/>
      <c r="CA90" s="10"/>
      <c r="CB90" s="10"/>
      <c r="CC90" s="10"/>
    </row>
    <row r="91" spans="1:81" ht="45.75" customHeight="1">
      <c r="A91" s="18"/>
      <c r="B91" s="92"/>
      <c r="C91" s="92"/>
      <c r="D91" s="92"/>
      <c r="E91" s="92"/>
      <c r="F91" s="92"/>
      <c r="G91" s="92"/>
      <c r="H91" s="92"/>
      <c r="I91" s="56"/>
      <c r="J91" s="93"/>
      <c r="K91" s="93"/>
      <c r="L91" s="93"/>
      <c r="M91" s="93"/>
      <c r="N91" s="93"/>
      <c r="O91" s="93"/>
      <c r="P91" s="93"/>
      <c r="Q91" s="93"/>
      <c r="R91" s="56"/>
      <c r="S91" s="57"/>
      <c r="T91" s="94"/>
      <c r="U91" s="94"/>
      <c r="V91" s="58"/>
      <c r="W91" s="58"/>
      <c r="X91" s="59"/>
      <c r="Y91" s="20"/>
      <c r="Z91" s="20"/>
      <c r="AA91" s="20"/>
      <c r="AB91" s="20"/>
      <c r="AC91" s="20"/>
      <c r="AD91" s="60"/>
      <c r="AE91" s="60"/>
      <c r="AF91" s="60"/>
      <c r="AG91" s="60"/>
      <c r="AH91" s="60"/>
      <c r="AI91" s="6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</row>
    <row r="92" spans="1:81" ht="15" customHeight="1">
      <c r="A92" s="18"/>
      <c r="B92" s="92"/>
      <c r="C92" s="92"/>
      <c r="D92" s="92"/>
      <c r="E92" s="92"/>
      <c r="F92" s="92"/>
      <c r="G92" s="92"/>
      <c r="H92" s="92"/>
      <c r="I92" s="56"/>
      <c r="J92" s="93"/>
      <c r="K92" s="93"/>
      <c r="L92" s="93"/>
      <c r="M92" s="93"/>
      <c r="N92" s="93"/>
      <c r="O92" s="93"/>
      <c r="P92" s="93"/>
      <c r="Q92" s="93"/>
      <c r="R92" s="56"/>
      <c r="S92" s="57"/>
      <c r="T92" s="94"/>
      <c r="U92" s="94"/>
      <c r="V92" s="58"/>
      <c r="W92" s="58"/>
      <c r="X92" s="59"/>
      <c r="Y92" s="20"/>
      <c r="Z92" s="20"/>
      <c r="AA92" s="20"/>
      <c r="AB92" s="20"/>
      <c r="AC92" s="20"/>
      <c r="AD92" s="22"/>
      <c r="AE92" s="22"/>
      <c r="AF92" s="22"/>
      <c r="AG92" s="22"/>
      <c r="AH92" s="22"/>
      <c r="AI92" s="2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</row>
    <row r="93" spans="1:81" ht="38.25" customHeight="1">
      <c r="A93" s="19"/>
      <c r="B93" s="92"/>
      <c r="C93" s="92"/>
      <c r="D93" s="92"/>
      <c r="E93" s="92"/>
      <c r="F93" s="92"/>
      <c r="G93" s="92"/>
      <c r="H93" s="92"/>
      <c r="I93" s="56"/>
      <c r="J93" s="93"/>
      <c r="K93" s="93"/>
      <c r="L93" s="93"/>
      <c r="M93" s="93"/>
      <c r="N93" s="93"/>
      <c r="O93" s="93"/>
      <c r="P93" s="93"/>
      <c r="Q93" s="93"/>
      <c r="R93" s="56"/>
      <c r="S93" s="57"/>
      <c r="T93" s="94"/>
      <c r="U93" s="94"/>
      <c r="V93" s="58"/>
      <c r="W93" s="58"/>
      <c r="X93" s="59"/>
      <c r="Y93" s="20"/>
      <c r="Z93" s="20"/>
      <c r="AA93" s="20"/>
      <c r="AB93" s="20"/>
      <c r="AC93" s="20"/>
      <c r="AD93" s="22"/>
      <c r="AE93" s="22"/>
      <c r="AF93" s="22"/>
      <c r="AG93" s="22"/>
      <c r="AH93" s="22"/>
      <c r="AI93" s="2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</row>
    <row r="94" spans="1:81" ht="15" customHeight="1">
      <c r="A94" s="19"/>
      <c r="B94" s="92"/>
      <c r="C94" s="92"/>
      <c r="D94" s="92"/>
      <c r="E94" s="92"/>
      <c r="F94" s="92"/>
      <c r="G94" s="92"/>
      <c r="H94" s="92"/>
      <c r="I94" s="56"/>
      <c r="J94" s="93"/>
      <c r="K94" s="93"/>
      <c r="L94" s="93"/>
      <c r="M94" s="93"/>
      <c r="N94" s="93"/>
      <c r="O94" s="93"/>
      <c r="P94" s="93"/>
      <c r="Q94" s="93"/>
      <c r="R94" s="56"/>
      <c r="S94" s="57"/>
      <c r="T94" s="94"/>
      <c r="U94" s="94"/>
      <c r="V94" s="58"/>
      <c r="W94" s="58"/>
      <c r="X94" s="59"/>
      <c r="Y94" s="20"/>
      <c r="Z94" s="20"/>
      <c r="AA94" s="20"/>
      <c r="AB94" s="20"/>
      <c r="AC94" s="20"/>
      <c r="AD94" s="22"/>
      <c r="AE94" s="22"/>
      <c r="AF94" s="22"/>
      <c r="AG94" s="22"/>
      <c r="AH94" s="22"/>
      <c r="AI94" s="2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</row>
    <row r="95" spans="1:81" ht="42" customHeight="1">
      <c r="A95" s="19"/>
      <c r="B95" s="92"/>
      <c r="C95" s="92"/>
      <c r="D95" s="92"/>
      <c r="E95" s="92"/>
      <c r="F95" s="92"/>
      <c r="G95" s="92"/>
      <c r="H95" s="92"/>
      <c r="I95" s="56"/>
      <c r="J95" s="93"/>
      <c r="K95" s="93"/>
      <c r="L95" s="93"/>
      <c r="M95" s="93"/>
      <c r="N95" s="93"/>
      <c r="O95" s="93"/>
      <c r="P95" s="93"/>
      <c r="Q95" s="93"/>
      <c r="R95" s="56"/>
      <c r="S95" s="57"/>
      <c r="T95" s="94"/>
      <c r="U95" s="94"/>
      <c r="V95" s="58"/>
      <c r="W95" s="61"/>
      <c r="X95" s="59"/>
      <c r="Y95" s="20"/>
      <c r="Z95" s="20"/>
      <c r="AA95" s="20"/>
      <c r="AB95" s="20"/>
      <c r="AC95" s="20"/>
      <c r="AD95" s="60"/>
      <c r="AE95" s="60"/>
      <c r="AF95" s="60"/>
      <c r="AG95" s="60"/>
      <c r="AH95" s="60"/>
      <c r="AI95" s="6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  <c r="AX95" s="10"/>
      <c r="AY95" s="10"/>
      <c r="AZ95" s="10"/>
      <c r="BA95" s="10"/>
      <c r="BB95" s="10"/>
      <c r="BC95" s="10"/>
      <c r="BD95" s="10"/>
      <c r="BE95" s="10"/>
      <c r="BF95" s="10"/>
      <c r="BG95" s="10"/>
      <c r="BH95" s="10"/>
      <c r="BI95" s="10"/>
      <c r="BJ95" s="10"/>
      <c r="BK95" s="10"/>
      <c r="BL95" s="10"/>
      <c r="BM95" s="10"/>
      <c r="BN95" s="10"/>
      <c r="BO95" s="10"/>
      <c r="BP95" s="10"/>
      <c r="BQ95" s="10"/>
      <c r="BR95" s="10"/>
      <c r="BS95" s="10"/>
      <c r="BT95" s="10"/>
      <c r="BU95" s="10"/>
      <c r="BV95" s="10"/>
      <c r="BW95" s="10"/>
      <c r="BX95" s="10"/>
      <c r="BY95" s="10"/>
      <c r="BZ95" s="10"/>
      <c r="CA95" s="10"/>
      <c r="CB95" s="10"/>
      <c r="CC95" s="10"/>
    </row>
    <row r="96" spans="1:81" ht="45" customHeight="1">
      <c r="A96" s="19"/>
      <c r="B96" s="92"/>
      <c r="C96" s="92"/>
      <c r="D96" s="92"/>
      <c r="E96" s="92"/>
      <c r="F96" s="92"/>
      <c r="G96" s="92"/>
      <c r="H96" s="92"/>
      <c r="I96" s="56"/>
      <c r="J96" s="93"/>
      <c r="K96" s="93"/>
      <c r="L96" s="93"/>
      <c r="M96" s="93"/>
      <c r="N96" s="93"/>
      <c r="O96" s="93"/>
      <c r="P96" s="93"/>
      <c r="Q96" s="93"/>
      <c r="R96" s="56"/>
      <c r="S96" s="57"/>
      <c r="T96" s="94"/>
      <c r="U96" s="94"/>
      <c r="V96" s="58"/>
      <c r="W96" s="58"/>
      <c r="X96" s="59"/>
      <c r="Y96" s="20"/>
      <c r="Z96" s="20"/>
      <c r="AA96" s="20"/>
      <c r="AB96" s="20"/>
      <c r="AC96" s="20"/>
      <c r="AD96" s="60"/>
      <c r="AE96" s="60"/>
      <c r="AF96" s="60"/>
      <c r="AG96" s="60"/>
      <c r="AH96" s="60"/>
      <c r="AI96" s="6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</row>
    <row r="97" spans="1:81">
      <c r="A97" s="11"/>
      <c r="B97" s="62"/>
      <c r="C97" s="63"/>
      <c r="D97" s="63"/>
      <c r="E97" s="63"/>
      <c r="F97" s="63"/>
      <c r="G97" s="63"/>
      <c r="H97" s="63"/>
      <c r="I97" s="64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4"/>
      <c r="X97" s="66"/>
      <c r="Y97" s="64"/>
      <c r="Z97" s="64"/>
      <c r="AA97" s="60"/>
      <c r="AB97" s="60"/>
      <c r="AC97" s="60"/>
      <c r="AD97" s="60"/>
      <c r="AE97" s="60"/>
      <c r="AF97" s="60"/>
      <c r="AG97" s="60"/>
      <c r="AH97" s="60"/>
      <c r="AI97" s="6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  <c r="AX97" s="10"/>
      <c r="AY97" s="10"/>
      <c r="AZ97" s="10"/>
      <c r="BA97" s="10"/>
      <c r="BB97" s="10"/>
      <c r="BC97" s="10"/>
      <c r="BD97" s="10"/>
      <c r="BE97" s="10"/>
      <c r="BF97" s="10"/>
      <c r="BG97" s="10"/>
      <c r="BH97" s="10"/>
      <c r="BI97" s="10"/>
      <c r="BJ97" s="10"/>
      <c r="BK97" s="10"/>
      <c r="BL97" s="10"/>
      <c r="BM97" s="10"/>
      <c r="BN97" s="10"/>
      <c r="BO97" s="10"/>
      <c r="BP97" s="10"/>
      <c r="BQ97" s="10"/>
      <c r="BR97" s="10"/>
      <c r="BS97" s="10"/>
      <c r="BT97" s="10"/>
      <c r="BU97" s="10"/>
      <c r="BV97" s="10"/>
      <c r="BW97" s="10"/>
      <c r="BX97" s="10"/>
      <c r="BY97" s="10"/>
      <c r="BZ97" s="10"/>
      <c r="CA97" s="10"/>
      <c r="CB97" s="10"/>
      <c r="CC97" s="10"/>
    </row>
    <row r="98" spans="1:81">
      <c r="A98" s="1"/>
      <c r="B98" s="20"/>
      <c r="C98" s="20"/>
      <c r="D98" s="20"/>
      <c r="E98" s="20"/>
      <c r="F98" s="20"/>
      <c r="G98" s="20"/>
      <c r="H98" s="21"/>
      <c r="I98" s="20"/>
      <c r="J98" s="20"/>
      <c r="K98" s="20"/>
      <c r="L98" s="20"/>
      <c r="M98" s="20"/>
      <c r="N98" s="20"/>
      <c r="O98" s="21"/>
      <c r="P98" s="20"/>
      <c r="Q98" s="20"/>
      <c r="R98" s="20"/>
      <c r="S98" s="20"/>
      <c r="T98" s="20"/>
      <c r="U98" s="20"/>
      <c r="V98" s="67"/>
      <c r="W98" s="20"/>
      <c r="X98" s="20"/>
      <c r="Y98" s="20"/>
      <c r="Z98" s="20"/>
      <c r="AA98" s="20"/>
      <c r="AB98" s="60"/>
      <c r="AC98" s="60"/>
      <c r="AD98" s="60"/>
      <c r="AE98" s="60"/>
      <c r="AF98" s="60"/>
      <c r="AG98" s="60"/>
      <c r="AH98" s="60"/>
      <c r="AI98" s="6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  <c r="AX98" s="10"/>
      <c r="AY98" s="10"/>
      <c r="AZ98" s="10"/>
      <c r="BA98" s="10"/>
      <c r="BB98" s="10"/>
      <c r="BC98" s="10"/>
      <c r="BD98" s="10"/>
      <c r="BE98" s="10"/>
      <c r="BF98" s="10"/>
      <c r="BG98" s="10"/>
      <c r="BH98" s="10"/>
      <c r="BI98" s="10"/>
      <c r="BJ98" s="10"/>
      <c r="BK98" s="10"/>
      <c r="BL98" s="10"/>
      <c r="BM98" s="10"/>
      <c r="BN98" s="10"/>
      <c r="BO98" s="10"/>
      <c r="BP98" s="10"/>
      <c r="BQ98" s="10"/>
      <c r="BR98" s="10"/>
      <c r="BS98" s="10"/>
      <c r="BT98" s="10"/>
      <c r="BU98" s="10"/>
      <c r="BV98" s="10"/>
      <c r="BW98" s="10"/>
      <c r="BX98" s="10"/>
      <c r="BY98" s="10"/>
      <c r="BZ98" s="10"/>
      <c r="CA98" s="10"/>
      <c r="CB98" s="10"/>
      <c r="CC98" s="10"/>
    </row>
    <row r="99" spans="1:81"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68"/>
      <c r="U99" s="20"/>
      <c r="V99" s="60"/>
      <c r="W99" s="68"/>
      <c r="X99" s="68"/>
      <c r="Y99" s="68"/>
      <c r="Z99" s="60"/>
      <c r="AA99" s="68"/>
      <c r="AB99" s="60"/>
      <c r="AC99" s="60"/>
      <c r="AD99" s="60"/>
      <c r="AE99" s="60"/>
      <c r="AF99" s="60"/>
      <c r="AG99" s="60"/>
      <c r="AH99" s="60"/>
      <c r="AI99" s="6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  <c r="AX99" s="10"/>
      <c r="AY99" s="10"/>
      <c r="AZ99" s="10"/>
      <c r="BA99" s="10"/>
      <c r="BB99" s="10"/>
      <c r="BC99" s="10"/>
      <c r="BD99" s="10"/>
      <c r="BE99" s="10"/>
      <c r="BF99" s="10"/>
      <c r="BG99" s="10"/>
      <c r="BH99" s="10"/>
      <c r="BI99" s="10"/>
      <c r="BJ99" s="10"/>
      <c r="BK99" s="10"/>
      <c r="BL99" s="10"/>
      <c r="BM99" s="10"/>
      <c r="BN99" s="10"/>
      <c r="BO99" s="10"/>
      <c r="BP99" s="10"/>
      <c r="BQ99" s="10"/>
      <c r="BR99" s="10"/>
      <c r="BS99" s="10"/>
      <c r="BT99" s="10"/>
      <c r="BU99" s="10"/>
      <c r="BV99" s="10"/>
      <c r="BW99" s="10"/>
      <c r="BX99" s="10"/>
      <c r="BY99" s="10"/>
      <c r="BZ99" s="10"/>
      <c r="CA99" s="10"/>
      <c r="CB99" s="10"/>
      <c r="CC99" s="10"/>
    </row>
    <row r="100" spans="1:81"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68"/>
      <c r="U100" s="20"/>
      <c r="V100" s="60"/>
      <c r="W100" s="68"/>
      <c r="X100" s="68"/>
      <c r="Y100" s="68"/>
      <c r="Z100" s="60"/>
      <c r="AA100" s="69"/>
      <c r="AB100" s="60"/>
      <c r="AC100" s="60"/>
      <c r="AD100" s="60"/>
      <c r="AE100" s="60"/>
      <c r="AF100" s="60"/>
      <c r="AG100" s="60"/>
      <c r="AH100" s="60"/>
      <c r="AI100" s="6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  <c r="AX100" s="10"/>
      <c r="AY100" s="10"/>
      <c r="AZ100" s="10"/>
      <c r="BA100" s="10"/>
      <c r="BB100" s="10"/>
      <c r="BC100" s="10"/>
      <c r="BD100" s="10"/>
      <c r="BE100" s="10"/>
      <c r="BF100" s="10"/>
      <c r="BG100" s="10"/>
      <c r="BH100" s="10"/>
      <c r="BI100" s="10"/>
      <c r="BJ100" s="10"/>
      <c r="BK100" s="10"/>
      <c r="BL100" s="10"/>
      <c r="BM100" s="10"/>
      <c r="BN100" s="10"/>
      <c r="BO100" s="10"/>
      <c r="BP100" s="10"/>
      <c r="BQ100" s="10"/>
      <c r="BR100" s="10"/>
      <c r="BS100" s="10"/>
      <c r="BT100" s="10"/>
      <c r="BU100" s="10"/>
      <c r="BV100" s="10"/>
      <c r="BW100" s="10"/>
      <c r="BX100" s="10"/>
      <c r="BY100" s="10"/>
      <c r="BZ100" s="10"/>
      <c r="CA100" s="10"/>
      <c r="CB100" s="10"/>
      <c r="CC100" s="10"/>
    </row>
    <row r="101" spans="1:81"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70"/>
      <c r="P101" s="20"/>
      <c r="Q101" s="20"/>
      <c r="R101" s="20"/>
      <c r="S101" s="20"/>
      <c r="T101" s="20"/>
      <c r="U101" s="20"/>
      <c r="V101" s="69"/>
      <c r="W101" s="69"/>
      <c r="X101" s="69"/>
      <c r="Y101" s="68"/>
      <c r="Z101" s="60"/>
      <c r="AA101" s="71"/>
      <c r="AB101" s="60"/>
      <c r="AC101" s="60"/>
      <c r="AD101" s="60"/>
      <c r="AE101" s="60"/>
      <c r="AF101" s="60"/>
      <c r="AG101" s="60"/>
      <c r="AH101" s="60"/>
      <c r="AI101" s="6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  <c r="AX101" s="10"/>
      <c r="AY101" s="10"/>
      <c r="AZ101" s="10"/>
      <c r="BA101" s="10"/>
      <c r="BB101" s="10"/>
      <c r="BC101" s="10"/>
      <c r="BD101" s="10"/>
      <c r="BE101" s="10"/>
      <c r="BF101" s="10"/>
      <c r="BG101" s="10"/>
      <c r="BH101" s="10"/>
      <c r="BI101" s="10"/>
      <c r="BJ101" s="10"/>
      <c r="BK101" s="10"/>
      <c r="BL101" s="10"/>
      <c r="BM101" s="10"/>
      <c r="BN101" s="10"/>
      <c r="BO101" s="10"/>
      <c r="BP101" s="10"/>
      <c r="BQ101" s="10"/>
      <c r="BR101" s="10"/>
      <c r="BS101" s="10"/>
      <c r="BT101" s="10"/>
      <c r="BU101" s="10"/>
      <c r="BV101" s="10"/>
      <c r="BW101" s="10"/>
      <c r="BX101" s="10"/>
      <c r="BY101" s="10"/>
      <c r="BZ101" s="10"/>
      <c r="CA101" s="10"/>
      <c r="CB101" s="10"/>
      <c r="CC101" s="10"/>
    </row>
    <row r="102" spans="1:81"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70"/>
      <c r="P102" s="20"/>
      <c r="Q102" s="20"/>
      <c r="R102" s="20"/>
      <c r="S102" s="20"/>
      <c r="T102" s="20"/>
      <c r="U102" s="20"/>
      <c r="V102" s="72"/>
      <c r="W102" s="72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  <c r="AX102" s="10"/>
      <c r="AY102" s="10"/>
      <c r="AZ102" s="10"/>
      <c r="BA102" s="10"/>
      <c r="BB102" s="10"/>
      <c r="BC102" s="10"/>
      <c r="BD102" s="10"/>
      <c r="BE102" s="10"/>
      <c r="BF102" s="10"/>
      <c r="BG102" s="10"/>
      <c r="BH102" s="10"/>
      <c r="BI102" s="10"/>
      <c r="BJ102" s="10"/>
      <c r="BK102" s="10"/>
      <c r="BL102" s="10"/>
      <c r="BM102" s="10"/>
      <c r="BN102" s="10"/>
      <c r="BO102" s="10"/>
      <c r="BP102" s="10"/>
      <c r="BQ102" s="10"/>
      <c r="BR102" s="10"/>
      <c r="BS102" s="10"/>
      <c r="BT102" s="10"/>
      <c r="BU102" s="10"/>
      <c r="BV102" s="10"/>
      <c r="BW102" s="10"/>
      <c r="BX102" s="10"/>
      <c r="BY102" s="10"/>
      <c r="BZ102" s="10"/>
      <c r="CA102" s="10"/>
      <c r="CB102" s="10"/>
      <c r="CC102" s="10"/>
    </row>
    <row r="103" spans="1:81">
      <c r="B103" s="20"/>
      <c r="C103" s="20"/>
      <c r="D103" s="20"/>
      <c r="E103" s="20"/>
      <c r="F103" s="20"/>
      <c r="G103" s="20"/>
      <c r="H103" s="21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72"/>
      <c r="W103" s="72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  <c r="AX103" s="10"/>
      <c r="AY103" s="10"/>
      <c r="AZ103" s="10"/>
      <c r="BA103" s="10"/>
      <c r="BB103" s="10"/>
      <c r="BC103" s="10"/>
      <c r="BD103" s="10"/>
      <c r="BE103" s="10"/>
      <c r="BF103" s="10"/>
      <c r="BG103" s="10"/>
      <c r="BH103" s="10"/>
      <c r="BI103" s="10"/>
      <c r="BJ103" s="10"/>
      <c r="BK103" s="10"/>
      <c r="BL103" s="10"/>
      <c r="BM103" s="10"/>
      <c r="BN103" s="10"/>
      <c r="BO103" s="10"/>
      <c r="BP103" s="10"/>
      <c r="BQ103" s="10"/>
      <c r="BR103" s="10"/>
      <c r="BS103" s="10"/>
      <c r="BT103" s="10"/>
      <c r="BU103" s="10"/>
      <c r="BV103" s="10"/>
      <c r="BW103" s="10"/>
      <c r="BX103" s="10"/>
      <c r="BY103" s="10"/>
      <c r="BZ103" s="10"/>
      <c r="CA103" s="10"/>
      <c r="CB103" s="10"/>
      <c r="CC103" s="10"/>
    </row>
    <row r="104" spans="1:81"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60"/>
      <c r="AC104" s="60"/>
      <c r="AD104" s="60"/>
      <c r="AE104" s="60"/>
      <c r="AF104" s="60"/>
      <c r="AG104" s="60"/>
      <c r="AH104" s="60"/>
      <c r="AI104" s="6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  <c r="AX104" s="10"/>
      <c r="AY104" s="10"/>
      <c r="AZ104" s="10"/>
      <c r="BA104" s="10"/>
      <c r="BB104" s="10"/>
      <c r="BC104" s="10"/>
      <c r="BD104" s="10"/>
      <c r="BE104" s="10"/>
      <c r="BF104" s="10"/>
      <c r="BG104" s="10"/>
      <c r="BH104" s="10"/>
      <c r="BI104" s="10"/>
      <c r="BJ104" s="10"/>
      <c r="BK104" s="10"/>
      <c r="BL104" s="10"/>
      <c r="BM104" s="10"/>
      <c r="BN104" s="10"/>
      <c r="BO104" s="10"/>
      <c r="BP104" s="10"/>
      <c r="BQ104" s="10"/>
      <c r="BR104" s="10"/>
      <c r="BS104" s="10"/>
      <c r="BT104" s="10"/>
      <c r="BU104" s="10"/>
      <c r="BV104" s="10"/>
      <c r="BW104" s="10"/>
      <c r="BX104" s="10"/>
      <c r="BY104" s="10"/>
      <c r="BZ104" s="10"/>
      <c r="CA104" s="10"/>
      <c r="CB104" s="10"/>
      <c r="CC104" s="10"/>
    </row>
    <row r="105" spans="1:81">
      <c r="B105" s="20"/>
      <c r="C105" s="20"/>
      <c r="D105" s="20"/>
      <c r="E105" s="20"/>
      <c r="F105" s="20"/>
      <c r="G105" s="20"/>
      <c r="H105" s="73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</row>
    <row r="106" spans="1:81">
      <c r="H106" s="12"/>
      <c r="Y106" s="13"/>
      <c r="Z106" s="10"/>
      <c r="AA106" s="10"/>
    </row>
  </sheetData>
  <mergeCells count="73">
    <mergeCell ref="R83:R85"/>
    <mergeCell ref="S83:S85"/>
    <mergeCell ref="N83:Q85"/>
    <mergeCell ref="N86:Q86"/>
    <mergeCell ref="N87:Q87"/>
    <mergeCell ref="B86:H86"/>
    <mergeCell ref="B87:H87"/>
    <mergeCell ref="B88:H88"/>
    <mergeCell ref="B89:H89"/>
    <mergeCell ref="N88:Q88"/>
    <mergeCell ref="N89:Q89"/>
    <mergeCell ref="J86:M86"/>
    <mergeCell ref="J87:M87"/>
    <mergeCell ref="T93:U93"/>
    <mergeCell ref="T94:U94"/>
    <mergeCell ref="T95:U95"/>
    <mergeCell ref="T96:U96"/>
    <mergeCell ref="T90:U90"/>
    <mergeCell ref="T91:U91"/>
    <mergeCell ref="T92:U92"/>
    <mergeCell ref="T87:U87"/>
    <mergeCell ref="T88:U88"/>
    <mergeCell ref="T89:U89"/>
    <mergeCell ref="V83:X83"/>
    <mergeCell ref="U82:Z82"/>
    <mergeCell ref="V84:X84"/>
    <mergeCell ref="T86:U86"/>
    <mergeCell ref="T83:U85"/>
    <mergeCell ref="B93:H93"/>
    <mergeCell ref="B94:H94"/>
    <mergeCell ref="J93:M93"/>
    <mergeCell ref="J94:M94"/>
    <mergeCell ref="N93:Q93"/>
    <mergeCell ref="N94:Q94"/>
    <mergeCell ref="B95:H95"/>
    <mergeCell ref="B96:H96"/>
    <mergeCell ref="J95:M95"/>
    <mergeCell ref="J96:M96"/>
    <mergeCell ref="N95:Q95"/>
    <mergeCell ref="N96:Q96"/>
    <mergeCell ref="B91:H91"/>
    <mergeCell ref="B92:H92"/>
    <mergeCell ref="J91:M91"/>
    <mergeCell ref="J92:M92"/>
    <mergeCell ref="N91:Q91"/>
    <mergeCell ref="N92:Q92"/>
    <mergeCell ref="B90:H90"/>
    <mergeCell ref="J89:M89"/>
    <mergeCell ref="J90:M90"/>
    <mergeCell ref="N90:Q90"/>
    <mergeCell ref="J88:M88"/>
    <mergeCell ref="A83:A85"/>
    <mergeCell ref="A73:A81"/>
    <mergeCell ref="N2:O2"/>
    <mergeCell ref="N4:O4"/>
    <mergeCell ref="W3:Y3"/>
    <mergeCell ref="A8:A19"/>
    <mergeCell ref="A21:A32"/>
    <mergeCell ref="A34:A45"/>
    <mergeCell ref="A47:A58"/>
    <mergeCell ref="A60:A71"/>
    <mergeCell ref="N3:O3"/>
    <mergeCell ref="B83:H85"/>
    <mergeCell ref="Y6:AC6"/>
    <mergeCell ref="I83:I85"/>
    <mergeCell ref="J83:M83"/>
    <mergeCell ref="J84:M85"/>
    <mergeCell ref="AD6:AG6"/>
    <mergeCell ref="D6:G6"/>
    <mergeCell ref="H6:K6"/>
    <mergeCell ref="L6:P6"/>
    <mergeCell ref="Q6:T6"/>
    <mergeCell ref="U6:X6"/>
  </mergeCells>
  <conditionalFormatting sqref="AJ48:AO60 AQ48:AT60 AQ62:AT63 AJ62:AO63">
    <cfRule type="cellIs" dxfId="621" priority="1639" stopIfTrue="1" operator="greaterThan">
      <formula>0</formula>
    </cfRule>
  </conditionalFormatting>
  <conditionalFormatting sqref="AP48:AP60 AP62:AP63">
    <cfRule type="cellIs" dxfId="620" priority="1638" stopIfTrue="1" operator="greaterThan">
      <formula>0</formula>
    </cfRule>
  </conditionalFormatting>
  <conditionalFormatting sqref="AJ61:AO61 AQ61:AT61">
    <cfRule type="cellIs" dxfId="619" priority="1637" stopIfTrue="1" operator="greaterThan">
      <formula>0</formula>
    </cfRule>
  </conditionalFormatting>
  <conditionalFormatting sqref="AP61">
    <cfRule type="cellIs" dxfId="618" priority="1636" stopIfTrue="1" operator="greaterThan">
      <formula>0</formula>
    </cfRule>
  </conditionalFormatting>
  <conditionalFormatting sqref="AQ64:AT65 AJ64:AO65">
    <cfRule type="cellIs" dxfId="617" priority="1755" stopIfTrue="1" operator="greaterThan">
      <formula>0</formula>
    </cfRule>
  </conditionalFormatting>
  <conditionalFormatting sqref="AP64:AP65">
    <cfRule type="cellIs" dxfId="616" priority="1754" stopIfTrue="1" operator="greaterThan">
      <formula>0</formula>
    </cfRule>
  </conditionalFormatting>
  <conditionalFormatting sqref="AH20:AH23">
    <cfRule type="cellIs" dxfId="615" priority="18866" operator="greaterThan">
      <formula>$AI$60/2</formula>
    </cfRule>
  </conditionalFormatting>
  <conditionalFormatting sqref="AL44">
    <cfRule type="cellIs" dxfId="614" priority="613" operator="lessThan">
      <formula>#REF!/2</formula>
    </cfRule>
    <cfRule type="cellIs" dxfId="613" priority="614" operator="greaterThan">
      <formula>#REF!/2</formula>
    </cfRule>
    <cfRule type="cellIs" dxfId="612" priority="615" operator="equal">
      <formula>#REF!/2</formula>
    </cfRule>
  </conditionalFormatting>
  <conditionalFormatting sqref="AM44">
    <cfRule type="cellIs" dxfId="611" priority="610" operator="lessThan">
      <formula>#REF!/2</formula>
    </cfRule>
    <cfRule type="cellIs" dxfId="610" priority="611" operator="greaterThan">
      <formula>#REF!/2</formula>
    </cfRule>
    <cfRule type="cellIs" dxfId="609" priority="612" operator="equal">
      <formula>#REF!/2</formula>
    </cfRule>
  </conditionalFormatting>
  <conditionalFormatting sqref="AO44">
    <cfRule type="cellIs" dxfId="608" priority="609" operator="equal">
      <formula>#REF!/2</formula>
    </cfRule>
  </conditionalFormatting>
  <conditionalFormatting sqref="AO44">
    <cfRule type="cellIs" dxfId="607" priority="608" operator="greaterThan">
      <formula>#REF!/2</formula>
    </cfRule>
  </conditionalFormatting>
  <conditionalFormatting sqref="AO44">
    <cfRule type="cellIs" dxfId="606" priority="607" operator="lessThan">
      <formula>#REF!/2</formula>
    </cfRule>
  </conditionalFormatting>
  <conditionalFormatting sqref="AP44">
    <cfRule type="cellIs" dxfId="605" priority="606" operator="equal">
      <formula>#REF!/2</formula>
    </cfRule>
  </conditionalFormatting>
  <conditionalFormatting sqref="AP44">
    <cfRule type="cellIs" dxfId="604" priority="605" operator="greaterThan">
      <formula>#REF!/2</formula>
    </cfRule>
  </conditionalFormatting>
  <conditionalFormatting sqref="AP44">
    <cfRule type="cellIs" dxfId="603" priority="604" operator="lessThan">
      <formula>#REF!/2</formula>
    </cfRule>
  </conditionalFormatting>
  <conditionalFormatting sqref="AQ44">
    <cfRule type="cellIs" dxfId="602" priority="603" operator="equal">
      <formula>#REF!/2</formula>
    </cfRule>
  </conditionalFormatting>
  <conditionalFormatting sqref="AQ44">
    <cfRule type="cellIs" dxfId="601" priority="602" operator="greaterThan">
      <formula>#REF!/2</formula>
    </cfRule>
  </conditionalFormatting>
  <conditionalFormatting sqref="AQ44">
    <cfRule type="cellIs" dxfId="600" priority="601" operator="lessThan">
      <formula>#REF!/2</formula>
    </cfRule>
  </conditionalFormatting>
  <conditionalFormatting sqref="AR44">
    <cfRule type="cellIs" dxfId="599" priority="600" operator="equal">
      <formula>#REF!/2</formula>
    </cfRule>
  </conditionalFormatting>
  <conditionalFormatting sqref="AR44">
    <cfRule type="cellIs" dxfId="598" priority="599" operator="greaterThan">
      <formula>#REF!/2</formula>
    </cfRule>
  </conditionalFormatting>
  <conditionalFormatting sqref="AR44">
    <cfRule type="cellIs" dxfId="597" priority="598" operator="lessThan">
      <formula>#REF!/2</formula>
    </cfRule>
  </conditionalFormatting>
  <conditionalFormatting sqref="AS44">
    <cfRule type="cellIs" dxfId="596" priority="597" operator="equal">
      <formula>#REF!/2</formula>
    </cfRule>
  </conditionalFormatting>
  <conditionalFormatting sqref="AS44">
    <cfRule type="cellIs" dxfId="595" priority="596" operator="greaterThan">
      <formula>#REF!/2</formula>
    </cfRule>
  </conditionalFormatting>
  <conditionalFormatting sqref="AS44">
    <cfRule type="cellIs" dxfId="594" priority="595" operator="lessThan">
      <formula>#REF!/2</formula>
    </cfRule>
  </conditionalFormatting>
  <conditionalFormatting sqref="AJ29">
    <cfRule type="cellIs" dxfId="593" priority="594" operator="equal">
      <formula>$AJ$48/2</formula>
    </cfRule>
  </conditionalFormatting>
  <conditionalFormatting sqref="AJ29">
    <cfRule type="cellIs" dxfId="592" priority="593" operator="greaterThan">
      <formula>$AJ$48/2</formula>
    </cfRule>
  </conditionalFormatting>
  <conditionalFormatting sqref="AJ29">
    <cfRule type="cellIs" dxfId="591" priority="592" operator="lessThan">
      <formula>$AJ$48/2</formula>
    </cfRule>
  </conditionalFormatting>
  <conditionalFormatting sqref="AJ30">
    <cfRule type="cellIs" dxfId="590" priority="591" operator="equal">
      <formula>$AJ$49/2</formula>
    </cfRule>
  </conditionalFormatting>
  <conditionalFormatting sqref="AJ30">
    <cfRule type="cellIs" dxfId="589" priority="590" operator="greaterThan">
      <formula>$AJ$49/2</formula>
    </cfRule>
  </conditionalFormatting>
  <conditionalFormatting sqref="AJ30">
    <cfRule type="cellIs" dxfId="588" priority="589" operator="lessThan">
      <formula>$AJ$49/2</formula>
    </cfRule>
  </conditionalFormatting>
  <conditionalFormatting sqref="AJ31">
    <cfRule type="cellIs" dxfId="587" priority="588" operator="equal">
      <formula>$AJ$50/2</formula>
    </cfRule>
  </conditionalFormatting>
  <conditionalFormatting sqref="AJ31">
    <cfRule type="cellIs" dxfId="586" priority="587" operator="greaterThan">
      <formula>$AJ$50/2</formula>
    </cfRule>
  </conditionalFormatting>
  <conditionalFormatting sqref="AJ31">
    <cfRule type="cellIs" dxfId="585" priority="586" operator="lessThan">
      <formula>$AJ$50/2</formula>
    </cfRule>
  </conditionalFormatting>
  <conditionalFormatting sqref="AJ32">
    <cfRule type="cellIs" dxfId="584" priority="585" operator="equal">
      <formula>$AJ$51/2</formula>
    </cfRule>
  </conditionalFormatting>
  <conditionalFormatting sqref="AJ32">
    <cfRule type="cellIs" dxfId="583" priority="584" operator="greaterThan">
      <formula>$AJ$51/2</formula>
    </cfRule>
  </conditionalFormatting>
  <conditionalFormatting sqref="AJ32">
    <cfRule type="cellIs" dxfId="582" priority="583" operator="lessThan">
      <formula>$AJ$51/2</formula>
    </cfRule>
  </conditionalFormatting>
  <conditionalFormatting sqref="AJ33">
    <cfRule type="cellIs" dxfId="581" priority="582" operator="equal">
      <formula>$AJ$52/2</formula>
    </cfRule>
  </conditionalFormatting>
  <conditionalFormatting sqref="AJ33">
    <cfRule type="cellIs" dxfId="580" priority="581" operator="greaterThan">
      <formula>$AJ$52/2</formula>
    </cfRule>
  </conditionalFormatting>
  <conditionalFormatting sqref="AJ33">
    <cfRule type="cellIs" dxfId="579" priority="580" operator="lessThan">
      <formula>$AJ$52/2</formula>
    </cfRule>
  </conditionalFormatting>
  <conditionalFormatting sqref="AJ34">
    <cfRule type="cellIs" dxfId="578" priority="579" operator="equal">
      <formula>$AJ$53/2</formula>
    </cfRule>
  </conditionalFormatting>
  <conditionalFormatting sqref="AJ34">
    <cfRule type="cellIs" dxfId="577" priority="578" operator="greaterThan">
      <formula>$AJ$53/2</formula>
    </cfRule>
  </conditionalFormatting>
  <conditionalFormatting sqref="AJ34">
    <cfRule type="cellIs" dxfId="576" priority="577" operator="lessThan">
      <formula>$AJ$53/2</formula>
    </cfRule>
  </conditionalFormatting>
  <conditionalFormatting sqref="AJ35">
    <cfRule type="cellIs" dxfId="575" priority="576" operator="equal">
      <formula>$AJ$54/2</formula>
    </cfRule>
  </conditionalFormatting>
  <conditionalFormatting sqref="AJ35">
    <cfRule type="cellIs" dxfId="574" priority="575" operator="greaterThan">
      <formula>$AJ$54/2</formula>
    </cfRule>
  </conditionalFormatting>
  <conditionalFormatting sqref="AJ35">
    <cfRule type="cellIs" dxfId="573" priority="574" operator="lessThan">
      <formula>$AJ$54/2</formula>
    </cfRule>
  </conditionalFormatting>
  <conditionalFormatting sqref="AJ36">
    <cfRule type="cellIs" dxfId="572" priority="573" operator="equal">
      <formula>$AJ$55/2</formula>
    </cfRule>
  </conditionalFormatting>
  <conditionalFormatting sqref="AJ36">
    <cfRule type="cellIs" dxfId="571" priority="572" operator="greaterThan">
      <formula>$AJ$55/2</formula>
    </cfRule>
  </conditionalFormatting>
  <conditionalFormatting sqref="AJ36">
    <cfRule type="cellIs" dxfId="570" priority="571" operator="lessThan">
      <formula>$AJ$55/2</formula>
    </cfRule>
  </conditionalFormatting>
  <conditionalFormatting sqref="AJ37">
    <cfRule type="cellIs" dxfId="569" priority="570" operator="equal">
      <formula>$AJ$56/2</formula>
    </cfRule>
  </conditionalFormatting>
  <conditionalFormatting sqref="AJ37">
    <cfRule type="cellIs" dxfId="568" priority="569" operator="greaterThan">
      <formula>$AJ$56/2</formula>
    </cfRule>
  </conditionalFormatting>
  <conditionalFormatting sqref="AJ37">
    <cfRule type="cellIs" dxfId="567" priority="568" operator="lessThan">
      <formula>$AJ$56/2</formula>
    </cfRule>
  </conditionalFormatting>
  <conditionalFormatting sqref="AJ38">
    <cfRule type="cellIs" dxfId="566" priority="567" operator="equal">
      <formula>$AJ$57/2</formula>
    </cfRule>
  </conditionalFormatting>
  <conditionalFormatting sqref="AJ38">
    <cfRule type="cellIs" dxfId="565" priority="566" operator="greaterThan">
      <formula>$AJ$57/2</formula>
    </cfRule>
  </conditionalFormatting>
  <conditionalFormatting sqref="AJ38">
    <cfRule type="cellIs" dxfId="564" priority="565" operator="lessThan">
      <formula>$AJ$57/2</formula>
    </cfRule>
  </conditionalFormatting>
  <conditionalFormatting sqref="AJ39">
    <cfRule type="cellIs" dxfId="563" priority="564" operator="equal">
      <formula>$AJ$58/2</formula>
    </cfRule>
  </conditionalFormatting>
  <conditionalFormatting sqref="AJ39">
    <cfRule type="cellIs" dxfId="562" priority="563" operator="greaterThan">
      <formula>$AJ$58/2</formula>
    </cfRule>
  </conditionalFormatting>
  <conditionalFormatting sqref="AJ39">
    <cfRule type="cellIs" dxfId="561" priority="562" operator="lessThan">
      <formula>$AJ$58/2</formula>
    </cfRule>
  </conditionalFormatting>
  <conditionalFormatting sqref="AJ40">
    <cfRule type="cellIs" dxfId="560" priority="561" operator="equal">
      <formula>$AJ$59/2</formula>
    </cfRule>
  </conditionalFormatting>
  <conditionalFormatting sqref="AJ40">
    <cfRule type="cellIs" dxfId="559" priority="560" operator="greaterThan">
      <formula>$AJ$59/2</formula>
    </cfRule>
  </conditionalFormatting>
  <conditionalFormatting sqref="AJ40">
    <cfRule type="cellIs" dxfId="558" priority="559" operator="lessThan">
      <formula>$AJ$59/2</formula>
    </cfRule>
  </conditionalFormatting>
  <conditionalFormatting sqref="AJ41">
    <cfRule type="cellIs" dxfId="557" priority="558" operator="equal">
      <formula>$AJ$60/2</formula>
    </cfRule>
  </conditionalFormatting>
  <conditionalFormatting sqref="AJ41">
    <cfRule type="cellIs" dxfId="556" priority="557" operator="greaterThan">
      <formula>$AJ$60/2</formula>
    </cfRule>
  </conditionalFormatting>
  <conditionalFormatting sqref="AJ41">
    <cfRule type="cellIs" dxfId="555" priority="556" operator="lessThan">
      <formula>$AJ$60/2</formula>
    </cfRule>
  </conditionalFormatting>
  <conditionalFormatting sqref="AJ42">
    <cfRule type="cellIs" dxfId="554" priority="555" operator="equal">
      <formula>$AJ$61/2</formula>
    </cfRule>
  </conditionalFormatting>
  <conditionalFormatting sqref="AJ42">
    <cfRule type="cellIs" dxfId="553" priority="554" operator="greaterThan">
      <formula>$AJ$61/2</formula>
    </cfRule>
  </conditionalFormatting>
  <conditionalFormatting sqref="AJ42">
    <cfRule type="cellIs" dxfId="552" priority="553" operator="lessThan">
      <formula>$AJ$61/2</formula>
    </cfRule>
  </conditionalFormatting>
  <conditionalFormatting sqref="AJ43">
    <cfRule type="cellIs" dxfId="551" priority="552" operator="equal">
      <formula>$AJ$62/2</formula>
    </cfRule>
  </conditionalFormatting>
  <conditionalFormatting sqref="AJ43">
    <cfRule type="cellIs" dxfId="550" priority="551" operator="greaterThan">
      <formula>$AJ$62/2</formula>
    </cfRule>
  </conditionalFormatting>
  <conditionalFormatting sqref="AJ43">
    <cfRule type="cellIs" dxfId="549" priority="550" operator="lessThan">
      <formula>$AJ$62/2</formula>
    </cfRule>
  </conditionalFormatting>
  <conditionalFormatting sqref="AJ44">
    <cfRule type="cellIs" dxfId="548" priority="549" operator="equal">
      <formula>$AJ$63/2</formula>
    </cfRule>
  </conditionalFormatting>
  <conditionalFormatting sqref="AJ44">
    <cfRule type="cellIs" dxfId="547" priority="548" operator="greaterThan">
      <formula>$AJ$63/2</formula>
    </cfRule>
  </conditionalFormatting>
  <conditionalFormatting sqref="AJ44">
    <cfRule type="cellIs" dxfId="546" priority="547" operator="lessThan">
      <formula>$AJ$63/2</formula>
    </cfRule>
  </conditionalFormatting>
  <conditionalFormatting sqref="AK29">
    <cfRule type="cellIs" dxfId="545" priority="546" operator="equal">
      <formula>$AK$48/2</formula>
    </cfRule>
  </conditionalFormatting>
  <conditionalFormatting sqref="AK29">
    <cfRule type="cellIs" dxfId="544" priority="545" operator="greaterThan">
      <formula>$AK$48/2</formula>
    </cfRule>
  </conditionalFormatting>
  <conditionalFormatting sqref="AK29">
    <cfRule type="cellIs" dxfId="543" priority="544" operator="lessThan">
      <formula>$AK$48/2</formula>
    </cfRule>
  </conditionalFormatting>
  <conditionalFormatting sqref="AK30">
    <cfRule type="cellIs" dxfId="542" priority="543" operator="equal">
      <formula>$AK$49/2</formula>
    </cfRule>
  </conditionalFormatting>
  <conditionalFormatting sqref="AK30">
    <cfRule type="cellIs" dxfId="541" priority="542" operator="greaterThan">
      <formula>$AK$49/2</formula>
    </cfRule>
  </conditionalFormatting>
  <conditionalFormatting sqref="AK30">
    <cfRule type="cellIs" dxfId="540" priority="541" operator="lessThan">
      <formula>$AK$49/2</formula>
    </cfRule>
  </conditionalFormatting>
  <conditionalFormatting sqref="AK31">
    <cfRule type="cellIs" dxfId="539" priority="540" operator="equal">
      <formula>$AK$50/2</formula>
    </cfRule>
  </conditionalFormatting>
  <conditionalFormatting sqref="AK31">
    <cfRule type="cellIs" dxfId="538" priority="539" operator="greaterThan">
      <formula>$AK$50/2</formula>
    </cfRule>
  </conditionalFormatting>
  <conditionalFormatting sqref="AK31">
    <cfRule type="cellIs" dxfId="537" priority="538" operator="lessThan">
      <formula>$AK$50/2</formula>
    </cfRule>
  </conditionalFormatting>
  <conditionalFormatting sqref="AK32">
    <cfRule type="cellIs" dxfId="536" priority="537" operator="equal">
      <formula>$AK$51/2</formula>
    </cfRule>
  </conditionalFormatting>
  <conditionalFormatting sqref="AK32">
    <cfRule type="cellIs" dxfId="535" priority="536" operator="greaterThan">
      <formula>$AK$51/2</formula>
    </cfRule>
  </conditionalFormatting>
  <conditionalFormatting sqref="AK32">
    <cfRule type="cellIs" dxfId="534" priority="535" operator="lessThan">
      <formula>$AK$51/2</formula>
    </cfRule>
  </conditionalFormatting>
  <conditionalFormatting sqref="AK33">
    <cfRule type="cellIs" dxfId="533" priority="534" operator="equal">
      <formula>$AK$52/2</formula>
    </cfRule>
  </conditionalFormatting>
  <conditionalFormatting sqref="AK33">
    <cfRule type="cellIs" dxfId="532" priority="533" operator="greaterThan">
      <formula>$AK$52/2</formula>
    </cfRule>
  </conditionalFormatting>
  <conditionalFormatting sqref="AK33">
    <cfRule type="cellIs" dxfId="531" priority="532" operator="lessThan">
      <formula>$AK$52/2</formula>
    </cfRule>
  </conditionalFormatting>
  <conditionalFormatting sqref="AK34">
    <cfRule type="cellIs" dxfId="530" priority="531" operator="equal">
      <formula>$AK$53/2</formula>
    </cfRule>
  </conditionalFormatting>
  <conditionalFormatting sqref="AK34">
    <cfRule type="cellIs" dxfId="529" priority="530" operator="greaterThan">
      <formula>$AK$53/2</formula>
    </cfRule>
  </conditionalFormatting>
  <conditionalFormatting sqref="AK34">
    <cfRule type="cellIs" dxfId="528" priority="529" operator="lessThan">
      <formula>$AK$53/2</formula>
    </cfRule>
  </conditionalFormatting>
  <conditionalFormatting sqref="AK35">
    <cfRule type="cellIs" dxfId="527" priority="528" operator="equal">
      <formula>$AK$54/2</formula>
    </cfRule>
  </conditionalFormatting>
  <conditionalFormatting sqref="AK35">
    <cfRule type="cellIs" dxfId="526" priority="527" operator="greaterThan">
      <formula>$AK$54/2</formula>
    </cfRule>
  </conditionalFormatting>
  <conditionalFormatting sqref="AK35">
    <cfRule type="cellIs" dxfId="525" priority="526" operator="lessThan">
      <formula>$AK$54/2</formula>
    </cfRule>
  </conditionalFormatting>
  <conditionalFormatting sqref="AK36">
    <cfRule type="cellIs" dxfId="524" priority="525" operator="equal">
      <formula>$AK$55/2</formula>
    </cfRule>
  </conditionalFormatting>
  <conditionalFormatting sqref="AK36">
    <cfRule type="cellIs" dxfId="523" priority="524" operator="greaterThan">
      <formula>$AK$55/2</formula>
    </cfRule>
  </conditionalFormatting>
  <conditionalFormatting sqref="AK36">
    <cfRule type="cellIs" dxfId="522" priority="523" operator="lessThan">
      <formula>$AK$55/2</formula>
    </cfRule>
  </conditionalFormatting>
  <conditionalFormatting sqref="AK37">
    <cfRule type="cellIs" dxfId="521" priority="522" operator="equal">
      <formula>$AK$56/2</formula>
    </cfRule>
  </conditionalFormatting>
  <conditionalFormatting sqref="AK37">
    <cfRule type="cellIs" dxfId="520" priority="521" operator="greaterThan">
      <formula>$AK$56/2</formula>
    </cfRule>
  </conditionalFormatting>
  <conditionalFormatting sqref="AK37">
    <cfRule type="cellIs" dxfId="519" priority="520" operator="lessThan">
      <formula>$AK$56/2</formula>
    </cfRule>
  </conditionalFormatting>
  <conditionalFormatting sqref="AK38">
    <cfRule type="cellIs" dxfId="518" priority="519" operator="equal">
      <formula>$AK$57/2</formula>
    </cfRule>
  </conditionalFormatting>
  <conditionalFormatting sqref="AK38">
    <cfRule type="cellIs" dxfId="517" priority="518" operator="greaterThan">
      <formula>$AK$57/2</formula>
    </cfRule>
  </conditionalFormatting>
  <conditionalFormatting sqref="AK38">
    <cfRule type="cellIs" dxfId="516" priority="517" operator="lessThan">
      <formula>$AK$57/2</formula>
    </cfRule>
  </conditionalFormatting>
  <conditionalFormatting sqref="AK39">
    <cfRule type="cellIs" dxfId="515" priority="516" operator="equal">
      <formula>$AK$58/2</formula>
    </cfRule>
  </conditionalFormatting>
  <conditionalFormatting sqref="AK39">
    <cfRule type="cellIs" dxfId="514" priority="515" operator="greaterThan">
      <formula>$AK$58/2</formula>
    </cfRule>
  </conditionalFormatting>
  <conditionalFormatting sqref="AK39">
    <cfRule type="cellIs" dxfId="513" priority="514" operator="lessThan">
      <formula>$AK$58/2</formula>
    </cfRule>
  </conditionalFormatting>
  <conditionalFormatting sqref="AK40">
    <cfRule type="cellIs" dxfId="512" priority="513" operator="equal">
      <formula>$AK$59/2</formula>
    </cfRule>
  </conditionalFormatting>
  <conditionalFormatting sqref="AK40">
    <cfRule type="cellIs" dxfId="511" priority="512" operator="greaterThan">
      <formula>$AK$59/2</formula>
    </cfRule>
  </conditionalFormatting>
  <conditionalFormatting sqref="AK40">
    <cfRule type="cellIs" dxfId="510" priority="511" operator="lessThan">
      <formula>$AK$59/2</formula>
    </cfRule>
  </conditionalFormatting>
  <conditionalFormatting sqref="AK41">
    <cfRule type="cellIs" dxfId="509" priority="510" operator="equal">
      <formula>$AK$60/2</formula>
    </cfRule>
  </conditionalFormatting>
  <conditionalFormatting sqref="AK41">
    <cfRule type="cellIs" dxfId="508" priority="509" operator="greaterThan">
      <formula>$AK$60/2</formula>
    </cfRule>
  </conditionalFormatting>
  <conditionalFormatting sqref="AK41">
    <cfRule type="cellIs" dxfId="507" priority="508" operator="lessThan">
      <formula>$AK$60/2</formula>
    </cfRule>
  </conditionalFormatting>
  <conditionalFormatting sqref="AK42">
    <cfRule type="cellIs" dxfId="506" priority="507" operator="equal">
      <formula>$AK$61/2</formula>
    </cfRule>
  </conditionalFormatting>
  <conditionalFormatting sqref="AK42">
    <cfRule type="cellIs" dxfId="505" priority="506" operator="greaterThan">
      <formula>$AK$61/2</formula>
    </cfRule>
  </conditionalFormatting>
  <conditionalFormatting sqref="AK42">
    <cfRule type="cellIs" dxfId="504" priority="505" operator="lessThan">
      <formula>$AK$61/2</formula>
    </cfRule>
  </conditionalFormatting>
  <conditionalFormatting sqref="AK43">
    <cfRule type="cellIs" dxfId="503" priority="504" operator="equal">
      <formula>$AK$62/2</formula>
    </cfRule>
  </conditionalFormatting>
  <conditionalFormatting sqref="AK43">
    <cfRule type="cellIs" dxfId="502" priority="503" operator="greaterThan">
      <formula>$AK$62/2</formula>
    </cfRule>
  </conditionalFormatting>
  <conditionalFormatting sqref="AK43">
    <cfRule type="cellIs" dxfId="501" priority="502" operator="lessThan">
      <formula>$AK$62/2</formula>
    </cfRule>
  </conditionalFormatting>
  <conditionalFormatting sqref="AK44">
    <cfRule type="cellIs" dxfId="500" priority="501" operator="equal">
      <formula>$AK$63/2</formula>
    </cfRule>
  </conditionalFormatting>
  <conditionalFormatting sqref="AK44">
    <cfRule type="cellIs" dxfId="499" priority="500" operator="greaterThan">
      <formula>$AK$63/2</formula>
    </cfRule>
  </conditionalFormatting>
  <conditionalFormatting sqref="AK44">
    <cfRule type="cellIs" dxfId="498" priority="499" operator="lessThan">
      <formula>$AK$63/2</formula>
    </cfRule>
  </conditionalFormatting>
  <conditionalFormatting sqref="AL29">
    <cfRule type="cellIs" dxfId="497" priority="498" operator="equal">
      <formula>$AL$48/2</formula>
    </cfRule>
  </conditionalFormatting>
  <conditionalFormatting sqref="AL29">
    <cfRule type="cellIs" dxfId="496" priority="497" operator="greaterThan">
      <formula>$AL$48/2</formula>
    </cfRule>
  </conditionalFormatting>
  <conditionalFormatting sqref="AL29">
    <cfRule type="cellIs" dxfId="495" priority="496" operator="lessThan">
      <formula>$AL$48/2</formula>
    </cfRule>
  </conditionalFormatting>
  <conditionalFormatting sqref="AL30">
    <cfRule type="cellIs" dxfId="494" priority="495" operator="equal">
      <formula>$AL$49/2</formula>
    </cfRule>
  </conditionalFormatting>
  <conditionalFormatting sqref="AL30">
    <cfRule type="cellIs" dxfId="493" priority="494" operator="greaterThan">
      <formula>$AL$49/2</formula>
    </cfRule>
  </conditionalFormatting>
  <conditionalFormatting sqref="AL30">
    <cfRule type="cellIs" dxfId="492" priority="493" operator="lessThan">
      <formula>$AL$49/2</formula>
    </cfRule>
  </conditionalFormatting>
  <conditionalFormatting sqref="AL31">
    <cfRule type="cellIs" dxfId="491" priority="492" operator="equal">
      <formula>$AL$50/2</formula>
    </cfRule>
  </conditionalFormatting>
  <conditionalFormatting sqref="AL31">
    <cfRule type="cellIs" dxfId="490" priority="491" operator="greaterThan">
      <formula>$AL$50/2</formula>
    </cfRule>
  </conditionalFormatting>
  <conditionalFormatting sqref="AL31">
    <cfRule type="cellIs" dxfId="489" priority="490" operator="lessThan">
      <formula>$AL$50/2</formula>
    </cfRule>
  </conditionalFormatting>
  <conditionalFormatting sqref="AL32">
    <cfRule type="cellIs" dxfId="488" priority="489" operator="equal">
      <formula>$AL$51/2</formula>
    </cfRule>
  </conditionalFormatting>
  <conditionalFormatting sqref="AL32">
    <cfRule type="cellIs" dxfId="487" priority="488" operator="greaterThan">
      <formula>$AL$51/2</formula>
    </cfRule>
  </conditionalFormatting>
  <conditionalFormatting sqref="AL32">
    <cfRule type="cellIs" dxfId="486" priority="487" operator="lessThan">
      <formula>$AL$51/2</formula>
    </cfRule>
  </conditionalFormatting>
  <conditionalFormatting sqref="AL33">
    <cfRule type="cellIs" dxfId="485" priority="486" operator="equal">
      <formula>$AL$52/2</formula>
    </cfRule>
  </conditionalFormatting>
  <conditionalFormatting sqref="AL33">
    <cfRule type="cellIs" dxfId="484" priority="485" operator="greaterThan">
      <formula>$AL$52/2</formula>
    </cfRule>
  </conditionalFormatting>
  <conditionalFormatting sqref="AL33">
    <cfRule type="cellIs" dxfId="483" priority="484" operator="lessThan">
      <formula>$AL$52/2</formula>
    </cfRule>
  </conditionalFormatting>
  <conditionalFormatting sqref="AL34">
    <cfRule type="cellIs" dxfId="482" priority="483" operator="equal">
      <formula>$AL$53/2</formula>
    </cfRule>
  </conditionalFormatting>
  <conditionalFormatting sqref="AL34">
    <cfRule type="cellIs" dxfId="481" priority="482" operator="greaterThan">
      <formula>$AL$53/2</formula>
    </cfRule>
  </conditionalFormatting>
  <conditionalFormatting sqref="AL34">
    <cfRule type="cellIs" dxfId="480" priority="481" operator="lessThan">
      <formula>$AL$53/2</formula>
    </cfRule>
  </conditionalFormatting>
  <conditionalFormatting sqref="AL35">
    <cfRule type="cellIs" dxfId="479" priority="480" operator="equal">
      <formula>$AL$54/2</formula>
    </cfRule>
  </conditionalFormatting>
  <conditionalFormatting sqref="AL35">
    <cfRule type="cellIs" dxfId="478" priority="479" operator="greaterThan">
      <formula>$AL$54/2</formula>
    </cfRule>
  </conditionalFormatting>
  <conditionalFormatting sqref="AL35">
    <cfRule type="cellIs" dxfId="477" priority="478" operator="lessThan">
      <formula>$AL$54/2</formula>
    </cfRule>
  </conditionalFormatting>
  <conditionalFormatting sqref="AL36">
    <cfRule type="cellIs" dxfId="476" priority="477" operator="equal">
      <formula>$AL$55/2</formula>
    </cfRule>
  </conditionalFormatting>
  <conditionalFormatting sqref="AL36">
    <cfRule type="cellIs" dxfId="475" priority="476" operator="greaterThan">
      <formula>$AL$55/2</formula>
    </cfRule>
  </conditionalFormatting>
  <conditionalFormatting sqref="AL36">
    <cfRule type="cellIs" dxfId="474" priority="475" operator="lessThan">
      <formula>$AL$55/2</formula>
    </cfRule>
  </conditionalFormatting>
  <conditionalFormatting sqref="AL37">
    <cfRule type="cellIs" dxfId="473" priority="474" operator="equal">
      <formula>$AL$56/2</formula>
    </cfRule>
  </conditionalFormatting>
  <conditionalFormatting sqref="AL37">
    <cfRule type="cellIs" dxfId="472" priority="473" operator="greaterThan">
      <formula>$AL$56/2</formula>
    </cfRule>
  </conditionalFormatting>
  <conditionalFormatting sqref="AL37">
    <cfRule type="cellIs" dxfId="471" priority="472" operator="lessThan">
      <formula>$AL$56/2</formula>
    </cfRule>
  </conditionalFormatting>
  <conditionalFormatting sqref="AL38">
    <cfRule type="cellIs" dxfId="470" priority="471" operator="equal">
      <formula>$AL$57/2</formula>
    </cfRule>
  </conditionalFormatting>
  <conditionalFormatting sqref="AL38">
    <cfRule type="cellIs" dxfId="469" priority="470" operator="greaterThan">
      <formula>$AL$57/2</formula>
    </cfRule>
  </conditionalFormatting>
  <conditionalFormatting sqref="AL38">
    <cfRule type="cellIs" dxfId="468" priority="469" operator="lessThan">
      <formula>$AL$57/2</formula>
    </cfRule>
  </conditionalFormatting>
  <conditionalFormatting sqref="AL39">
    <cfRule type="cellIs" dxfId="467" priority="468" operator="equal">
      <formula>$AL$58/2</formula>
    </cfRule>
  </conditionalFormatting>
  <conditionalFormatting sqref="AL39">
    <cfRule type="cellIs" dxfId="466" priority="467" operator="greaterThan">
      <formula>$AL$58/2</formula>
    </cfRule>
  </conditionalFormatting>
  <conditionalFormatting sqref="AL39">
    <cfRule type="cellIs" dxfId="465" priority="466" operator="lessThan">
      <formula>$AL$58/2</formula>
    </cfRule>
  </conditionalFormatting>
  <conditionalFormatting sqref="AL40">
    <cfRule type="cellIs" dxfId="464" priority="465" operator="equal">
      <formula>$AL$59/2</formula>
    </cfRule>
  </conditionalFormatting>
  <conditionalFormatting sqref="AL40">
    <cfRule type="cellIs" dxfId="463" priority="464" operator="greaterThan">
      <formula>$AL$59/2</formula>
    </cfRule>
  </conditionalFormatting>
  <conditionalFormatting sqref="AL40">
    <cfRule type="cellIs" dxfId="462" priority="463" operator="lessThan">
      <formula>$AL$59/2</formula>
    </cfRule>
  </conditionalFormatting>
  <conditionalFormatting sqref="AL41">
    <cfRule type="cellIs" dxfId="461" priority="462" operator="equal">
      <formula>$AL$60/2</formula>
    </cfRule>
  </conditionalFormatting>
  <conditionalFormatting sqref="AL41">
    <cfRule type="cellIs" dxfId="460" priority="461" operator="greaterThan">
      <formula>$AL$60/2</formula>
    </cfRule>
  </conditionalFormatting>
  <conditionalFormatting sqref="AL41">
    <cfRule type="cellIs" dxfId="459" priority="460" operator="lessThan">
      <formula>$AL$60/2</formula>
    </cfRule>
  </conditionalFormatting>
  <conditionalFormatting sqref="AL42">
    <cfRule type="cellIs" dxfId="458" priority="459" operator="equal">
      <formula>$AL$61/2</formula>
    </cfRule>
  </conditionalFormatting>
  <conditionalFormatting sqref="AL42">
    <cfRule type="cellIs" dxfId="457" priority="458" operator="greaterThan">
      <formula>$AL$61/2</formula>
    </cfRule>
  </conditionalFormatting>
  <conditionalFormatting sqref="AL42">
    <cfRule type="cellIs" dxfId="456" priority="457" operator="lessThan">
      <formula>$AL$61/2</formula>
    </cfRule>
  </conditionalFormatting>
  <conditionalFormatting sqref="AL43">
    <cfRule type="cellIs" dxfId="455" priority="456" operator="equal">
      <formula>$AL$62/2</formula>
    </cfRule>
  </conditionalFormatting>
  <conditionalFormatting sqref="AL43">
    <cfRule type="cellIs" dxfId="454" priority="455" operator="greaterThan">
      <formula>$AL$62/2</formula>
    </cfRule>
  </conditionalFormatting>
  <conditionalFormatting sqref="AL43">
    <cfRule type="cellIs" dxfId="453" priority="454" operator="lessThan">
      <formula>$AL$62/2</formula>
    </cfRule>
  </conditionalFormatting>
  <conditionalFormatting sqref="AL44">
    <cfRule type="cellIs" dxfId="452" priority="453" operator="equal">
      <formula>$AL$63/2</formula>
    </cfRule>
  </conditionalFormatting>
  <conditionalFormatting sqref="AL44">
    <cfRule type="cellIs" dxfId="451" priority="452" operator="greaterThan">
      <formula>$AL$63/2</formula>
    </cfRule>
  </conditionalFormatting>
  <conditionalFormatting sqref="AL44">
    <cfRule type="cellIs" dxfId="450" priority="451" operator="lessThan">
      <formula>$AL$63/2</formula>
    </cfRule>
  </conditionalFormatting>
  <conditionalFormatting sqref="AM29">
    <cfRule type="cellIs" dxfId="449" priority="450" operator="equal">
      <formula>$AM$48/2</formula>
    </cfRule>
  </conditionalFormatting>
  <conditionalFormatting sqref="AM29">
    <cfRule type="cellIs" dxfId="448" priority="449" operator="greaterThan">
      <formula>$AM$48/2</formula>
    </cfRule>
  </conditionalFormatting>
  <conditionalFormatting sqref="AM29">
    <cfRule type="cellIs" dxfId="447" priority="448" operator="lessThan">
      <formula>$AM$48/2</formula>
    </cfRule>
  </conditionalFormatting>
  <conditionalFormatting sqref="AM30">
    <cfRule type="cellIs" dxfId="446" priority="447" operator="equal">
      <formula>$AM$49/2</formula>
    </cfRule>
  </conditionalFormatting>
  <conditionalFormatting sqref="AM30">
    <cfRule type="cellIs" dxfId="445" priority="446" operator="greaterThan">
      <formula>$AM$49/2</formula>
    </cfRule>
  </conditionalFormatting>
  <conditionalFormatting sqref="AM30">
    <cfRule type="cellIs" dxfId="444" priority="445" operator="lessThan">
      <formula>$AM$49/2</formula>
    </cfRule>
  </conditionalFormatting>
  <conditionalFormatting sqref="AM31">
    <cfRule type="cellIs" dxfId="443" priority="444" operator="equal">
      <formula>$AM$50/2</formula>
    </cfRule>
  </conditionalFormatting>
  <conditionalFormatting sqref="AM31">
    <cfRule type="cellIs" dxfId="442" priority="443" operator="greaterThan">
      <formula>$AM$50/2</formula>
    </cfRule>
  </conditionalFormatting>
  <conditionalFormatting sqref="AM31">
    <cfRule type="cellIs" dxfId="441" priority="442" operator="lessThan">
      <formula>$AM$50/2</formula>
    </cfRule>
  </conditionalFormatting>
  <conditionalFormatting sqref="AM32">
    <cfRule type="cellIs" dxfId="440" priority="441" operator="equal">
      <formula>$AM$51/2</formula>
    </cfRule>
  </conditionalFormatting>
  <conditionalFormatting sqref="AM32">
    <cfRule type="cellIs" dxfId="439" priority="440" operator="greaterThan">
      <formula>$AM$51/2</formula>
    </cfRule>
  </conditionalFormatting>
  <conditionalFormatting sqref="AM32">
    <cfRule type="cellIs" dxfId="438" priority="439" operator="lessThan">
      <formula>$AM$51/2</formula>
    </cfRule>
  </conditionalFormatting>
  <conditionalFormatting sqref="AM33">
    <cfRule type="cellIs" dxfId="437" priority="438" operator="equal">
      <formula>$AM$52/2</formula>
    </cfRule>
  </conditionalFormatting>
  <conditionalFormatting sqref="AM33">
    <cfRule type="cellIs" dxfId="436" priority="437" operator="greaterThan">
      <formula>$AM$52/2</formula>
    </cfRule>
  </conditionalFormatting>
  <conditionalFormatting sqref="AM33">
    <cfRule type="cellIs" dxfId="435" priority="436" operator="lessThan">
      <formula>$AM$52/2</formula>
    </cfRule>
  </conditionalFormatting>
  <conditionalFormatting sqref="AM34">
    <cfRule type="cellIs" dxfId="434" priority="435" operator="equal">
      <formula>$AM$53/2</formula>
    </cfRule>
  </conditionalFormatting>
  <conditionalFormatting sqref="AM34">
    <cfRule type="cellIs" dxfId="433" priority="434" operator="greaterThan">
      <formula>$AM$53/2</formula>
    </cfRule>
  </conditionalFormatting>
  <conditionalFormatting sqref="AM34">
    <cfRule type="cellIs" dxfId="432" priority="433" operator="lessThan">
      <formula>$AM$53/2</formula>
    </cfRule>
  </conditionalFormatting>
  <conditionalFormatting sqref="AM35">
    <cfRule type="cellIs" dxfId="431" priority="432" operator="equal">
      <formula>$AM$54/2</formula>
    </cfRule>
  </conditionalFormatting>
  <conditionalFormatting sqref="AM35">
    <cfRule type="cellIs" dxfId="430" priority="431" operator="greaterThan">
      <formula>$AM$54/2</formula>
    </cfRule>
  </conditionalFormatting>
  <conditionalFormatting sqref="AM35">
    <cfRule type="cellIs" dxfId="429" priority="430" operator="lessThan">
      <formula>$AM$54/2</formula>
    </cfRule>
  </conditionalFormatting>
  <conditionalFormatting sqref="AM36">
    <cfRule type="cellIs" dxfId="428" priority="429" operator="equal">
      <formula>$AM$55/2</formula>
    </cfRule>
  </conditionalFormatting>
  <conditionalFormatting sqref="AM36">
    <cfRule type="cellIs" dxfId="427" priority="428" operator="greaterThan">
      <formula>$AM$55/2</formula>
    </cfRule>
  </conditionalFormatting>
  <conditionalFormatting sqref="AM36">
    <cfRule type="cellIs" dxfId="426" priority="427" operator="lessThan">
      <formula>$AM$55/2</formula>
    </cfRule>
  </conditionalFormatting>
  <conditionalFormatting sqref="AM37">
    <cfRule type="cellIs" dxfId="425" priority="426" operator="equal">
      <formula>$AM$56/2</formula>
    </cfRule>
  </conditionalFormatting>
  <conditionalFormatting sqref="AM37">
    <cfRule type="cellIs" dxfId="424" priority="425" operator="greaterThan">
      <formula>$AM$56/2</formula>
    </cfRule>
  </conditionalFormatting>
  <conditionalFormatting sqref="AM37">
    <cfRule type="cellIs" dxfId="423" priority="424" operator="lessThan">
      <formula>$AM$56/2</formula>
    </cfRule>
  </conditionalFormatting>
  <conditionalFormatting sqref="AM38">
    <cfRule type="cellIs" dxfId="422" priority="423" operator="equal">
      <formula>$AM$57/2</formula>
    </cfRule>
  </conditionalFormatting>
  <conditionalFormatting sqref="AM38">
    <cfRule type="cellIs" dxfId="421" priority="422" operator="greaterThan">
      <formula>$AM$57/2</formula>
    </cfRule>
  </conditionalFormatting>
  <conditionalFormatting sqref="AM38">
    <cfRule type="cellIs" dxfId="420" priority="421" operator="lessThan">
      <formula>$AM$57/2</formula>
    </cfRule>
  </conditionalFormatting>
  <conditionalFormatting sqref="AM39">
    <cfRule type="cellIs" dxfId="419" priority="420" operator="equal">
      <formula>$AM$58/2</formula>
    </cfRule>
  </conditionalFormatting>
  <conditionalFormatting sqref="AM39">
    <cfRule type="cellIs" dxfId="418" priority="419" operator="greaterThan">
      <formula>$AM$58/2</formula>
    </cfRule>
  </conditionalFormatting>
  <conditionalFormatting sqref="AM39">
    <cfRule type="cellIs" dxfId="417" priority="418" operator="lessThan">
      <formula>$AM$58/2</formula>
    </cfRule>
  </conditionalFormatting>
  <conditionalFormatting sqref="AM40">
    <cfRule type="cellIs" dxfId="416" priority="417" operator="equal">
      <formula>$AM$59/2</formula>
    </cfRule>
  </conditionalFormatting>
  <conditionalFormatting sqref="AM40">
    <cfRule type="cellIs" dxfId="415" priority="416" operator="greaterThan">
      <formula>$AM$59/2</formula>
    </cfRule>
  </conditionalFormatting>
  <conditionalFormatting sqref="AM40">
    <cfRule type="cellIs" dxfId="414" priority="415" operator="lessThan">
      <formula>$AM$59/2</formula>
    </cfRule>
  </conditionalFormatting>
  <conditionalFormatting sqref="AM41">
    <cfRule type="cellIs" dxfId="413" priority="414" operator="equal">
      <formula>$AM$60/2</formula>
    </cfRule>
  </conditionalFormatting>
  <conditionalFormatting sqref="AM41">
    <cfRule type="cellIs" dxfId="412" priority="413" operator="greaterThan">
      <formula>$AM$60/2</formula>
    </cfRule>
  </conditionalFormatting>
  <conditionalFormatting sqref="AM41">
    <cfRule type="cellIs" dxfId="411" priority="412" operator="lessThan">
      <formula>$AM$60/2</formula>
    </cfRule>
  </conditionalFormatting>
  <conditionalFormatting sqref="AM42">
    <cfRule type="cellIs" dxfId="410" priority="411" operator="equal">
      <formula>$AM$61/2</formula>
    </cfRule>
  </conditionalFormatting>
  <conditionalFormatting sqref="AM42">
    <cfRule type="cellIs" dxfId="409" priority="410" operator="greaterThan">
      <formula>$AM$61/2</formula>
    </cfRule>
  </conditionalFormatting>
  <conditionalFormatting sqref="AM42">
    <cfRule type="cellIs" dxfId="408" priority="409" operator="lessThan">
      <formula>$AM$61/2</formula>
    </cfRule>
  </conditionalFormatting>
  <conditionalFormatting sqref="AM43">
    <cfRule type="cellIs" dxfId="407" priority="408" operator="equal">
      <formula>$AM$62/2</formula>
    </cfRule>
  </conditionalFormatting>
  <conditionalFormatting sqref="AM43">
    <cfRule type="cellIs" dxfId="406" priority="407" operator="greaterThan">
      <formula>$AM$62/2</formula>
    </cfRule>
  </conditionalFormatting>
  <conditionalFormatting sqref="AM43">
    <cfRule type="cellIs" dxfId="405" priority="406" operator="lessThan">
      <formula>$AM$62/2</formula>
    </cfRule>
  </conditionalFormatting>
  <conditionalFormatting sqref="AM44">
    <cfRule type="cellIs" dxfId="404" priority="405" operator="equal">
      <formula>$AM$63/2</formula>
    </cfRule>
  </conditionalFormatting>
  <conditionalFormatting sqref="AM44">
    <cfRule type="cellIs" dxfId="403" priority="404" operator="greaterThan">
      <formula>$AM$63/2</formula>
    </cfRule>
  </conditionalFormatting>
  <conditionalFormatting sqref="AM44">
    <cfRule type="cellIs" dxfId="402" priority="403" operator="lessThan">
      <formula>$AM$63/2</formula>
    </cfRule>
  </conditionalFormatting>
  <conditionalFormatting sqref="AN29">
    <cfRule type="cellIs" dxfId="401" priority="402" operator="equal">
      <formula>$AN$48/2</formula>
    </cfRule>
  </conditionalFormatting>
  <conditionalFormatting sqref="AN29">
    <cfRule type="cellIs" dxfId="400" priority="401" operator="greaterThan">
      <formula>$AN$48/2</formula>
    </cfRule>
  </conditionalFormatting>
  <conditionalFormatting sqref="AN29">
    <cfRule type="cellIs" dxfId="399" priority="400" operator="lessThan">
      <formula>$AN$48/2</formula>
    </cfRule>
  </conditionalFormatting>
  <conditionalFormatting sqref="AN30">
    <cfRule type="cellIs" dxfId="398" priority="399" operator="equal">
      <formula>$AN$49/2</formula>
    </cfRule>
  </conditionalFormatting>
  <conditionalFormatting sqref="AN30">
    <cfRule type="cellIs" dxfId="397" priority="398" operator="greaterThan">
      <formula>$AN$49/2</formula>
    </cfRule>
  </conditionalFormatting>
  <conditionalFormatting sqref="AN30">
    <cfRule type="cellIs" dxfId="396" priority="397" operator="lessThan">
      <formula>$AN$49/2</formula>
    </cfRule>
  </conditionalFormatting>
  <conditionalFormatting sqref="AN31">
    <cfRule type="cellIs" dxfId="395" priority="396" operator="equal">
      <formula>$AN$50/2</formula>
    </cfRule>
  </conditionalFormatting>
  <conditionalFormatting sqref="AN31">
    <cfRule type="cellIs" dxfId="394" priority="395" operator="greaterThan">
      <formula>$AN$50/2</formula>
    </cfRule>
  </conditionalFormatting>
  <conditionalFormatting sqref="AN31">
    <cfRule type="cellIs" dxfId="393" priority="394" operator="lessThan">
      <formula>$AN$50/2</formula>
    </cfRule>
  </conditionalFormatting>
  <conditionalFormatting sqref="AN32">
    <cfRule type="cellIs" dxfId="392" priority="393" operator="equal">
      <formula>$AN$51/2</formula>
    </cfRule>
  </conditionalFormatting>
  <conditionalFormatting sqref="AN32">
    <cfRule type="cellIs" dxfId="391" priority="392" operator="greaterThan">
      <formula>$AN$51/2</formula>
    </cfRule>
  </conditionalFormatting>
  <conditionalFormatting sqref="AN32">
    <cfRule type="cellIs" dxfId="390" priority="391" operator="lessThan">
      <formula>$AN$51/2</formula>
    </cfRule>
  </conditionalFormatting>
  <conditionalFormatting sqref="AN33">
    <cfRule type="cellIs" dxfId="389" priority="390" operator="equal">
      <formula>$AN$52/2</formula>
    </cfRule>
  </conditionalFormatting>
  <conditionalFormatting sqref="AN33">
    <cfRule type="cellIs" dxfId="388" priority="389" operator="greaterThan">
      <formula>$AN$52/2</formula>
    </cfRule>
  </conditionalFormatting>
  <conditionalFormatting sqref="AN33">
    <cfRule type="cellIs" dxfId="387" priority="388" operator="lessThan">
      <formula>$AN$52/2</formula>
    </cfRule>
  </conditionalFormatting>
  <conditionalFormatting sqref="AN34">
    <cfRule type="cellIs" dxfId="386" priority="387" operator="equal">
      <formula>$AN$53/2</formula>
    </cfRule>
  </conditionalFormatting>
  <conditionalFormatting sqref="AN34">
    <cfRule type="cellIs" dxfId="385" priority="386" operator="greaterThan">
      <formula>$AN$53/2</formula>
    </cfRule>
  </conditionalFormatting>
  <conditionalFormatting sqref="AN34">
    <cfRule type="cellIs" dxfId="384" priority="385" operator="lessThan">
      <formula>$AN$53/2</formula>
    </cfRule>
  </conditionalFormatting>
  <conditionalFormatting sqref="AN35">
    <cfRule type="cellIs" dxfId="383" priority="384" operator="equal">
      <formula>$AN$54/2</formula>
    </cfRule>
  </conditionalFormatting>
  <conditionalFormatting sqref="AN35">
    <cfRule type="cellIs" dxfId="382" priority="383" operator="greaterThan">
      <formula>$AN$54/2</formula>
    </cfRule>
  </conditionalFormatting>
  <conditionalFormatting sqref="AN35">
    <cfRule type="cellIs" dxfId="381" priority="382" operator="lessThan">
      <formula>$AN$54/2</formula>
    </cfRule>
  </conditionalFormatting>
  <conditionalFormatting sqref="AN36">
    <cfRule type="cellIs" dxfId="380" priority="381" operator="equal">
      <formula>$AN$55/2</formula>
    </cfRule>
  </conditionalFormatting>
  <conditionalFormatting sqref="AN36">
    <cfRule type="cellIs" dxfId="379" priority="380" operator="greaterThan">
      <formula>$AN$55/2</formula>
    </cfRule>
  </conditionalFormatting>
  <conditionalFormatting sqref="AN36">
    <cfRule type="cellIs" dxfId="378" priority="379" operator="lessThan">
      <formula>$AN$55/2</formula>
    </cfRule>
  </conditionalFormatting>
  <conditionalFormatting sqref="AN37">
    <cfRule type="cellIs" dxfId="377" priority="378" operator="equal">
      <formula>$AN$56/2</formula>
    </cfRule>
  </conditionalFormatting>
  <conditionalFormatting sqref="AN37">
    <cfRule type="cellIs" dxfId="376" priority="377" operator="greaterThan">
      <formula>$AN$56/2</formula>
    </cfRule>
  </conditionalFormatting>
  <conditionalFormatting sqref="AN37">
    <cfRule type="cellIs" dxfId="375" priority="376" operator="lessThan">
      <formula>$AN$56/2</formula>
    </cfRule>
  </conditionalFormatting>
  <conditionalFormatting sqref="AN38">
    <cfRule type="cellIs" dxfId="374" priority="375" operator="equal">
      <formula>$AN$57/2</formula>
    </cfRule>
  </conditionalFormatting>
  <conditionalFormatting sqref="AN38">
    <cfRule type="cellIs" dxfId="373" priority="374" operator="greaterThan">
      <formula>$AN$57/2</formula>
    </cfRule>
  </conditionalFormatting>
  <conditionalFormatting sqref="AN38">
    <cfRule type="cellIs" dxfId="372" priority="373" operator="lessThan">
      <formula>$AN$57/2</formula>
    </cfRule>
  </conditionalFormatting>
  <conditionalFormatting sqref="AN39">
    <cfRule type="cellIs" dxfId="371" priority="372" operator="equal">
      <formula>$AN$58/2</formula>
    </cfRule>
  </conditionalFormatting>
  <conditionalFormatting sqref="AN39">
    <cfRule type="cellIs" dxfId="370" priority="371" operator="greaterThan">
      <formula>$AN$58/2</formula>
    </cfRule>
  </conditionalFormatting>
  <conditionalFormatting sqref="AN39">
    <cfRule type="cellIs" dxfId="369" priority="370" operator="lessThan">
      <formula>$AN$58/2</formula>
    </cfRule>
  </conditionalFormatting>
  <conditionalFormatting sqref="AN40">
    <cfRule type="cellIs" dxfId="368" priority="369" operator="equal">
      <formula>$AN$59/2</formula>
    </cfRule>
  </conditionalFormatting>
  <conditionalFormatting sqref="AN40">
    <cfRule type="cellIs" dxfId="367" priority="368" operator="greaterThan">
      <formula>$AN$59/2</formula>
    </cfRule>
  </conditionalFormatting>
  <conditionalFormatting sqref="AN40">
    <cfRule type="cellIs" dxfId="366" priority="367" operator="lessThan">
      <formula>$AN$59/2</formula>
    </cfRule>
  </conditionalFormatting>
  <conditionalFormatting sqref="AN41">
    <cfRule type="cellIs" dxfId="365" priority="366" operator="equal">
      <formula>$AN$60/2</formula>
    </cfRule>
  </conditionalFormatting>
  <conditionalFormatting sqref="AN41">
    <cfRule type="cellIs" dxfId="364" priority="365" operator="greaterThan">
      <formula>$AN$60/2</formula>
    </cfRule>
  </conditionalFormatting>
  <conditionalFormatting sqref="AN41">
    <cfRule type="cellIs" dxfId="363" priority="364" operator="lessThan">
      <formula>$AN$60/2</formula>
    </cfRule>
  </conditionalFormatting>
  <conditionalFormatting sqref="AN42">
    <cfRule type="cellIs" dxfId="362" priority="363" operator="equal">
      <formula>$AN$61/2</formula>
    </cfRule>
  </conditionalFormatting>
  <conditionalFormatting sqref="AN42">
    <cfRule type="cellIs" dxfId="361" priority="362" operator="greaterThan">
      <formula>$AN$61/2</formula>
    </cfRule>
  </conditionalFormatting>
  <conditionalFormatting sqref="AN42">
    <cfRule type="cellIs" dxfId="360" priority="361" operator="lessThan">
      <formula>$AN$61/2</formula>
    </cfRule>
  </conditionalFormatting>
  <conditionalFormatting sqref="AN43">
    <cfRule type="cellIs" dxfId="359" priority="360" operator="equal">
      <formula>$AN$62/2</formula>
    </cfRule>
  </conditionalFormatting>
  <conditionalFormatting sqref="AN43">
    <cfRule type="cellIs" dxfId="358" priority="359" operator="greaterThan">
      <formula>$AN$62/2</formula>
    </cfRule>
  </conditionalFormatting>
  <conditionalFormatting sqref="AN43">
    <cfRule type="cellIs" dxfId="357" priority="358" operator="lessThan">
      <formula>$AN$62/2</formula>
    </cfRule>
  </conditionalFormatting>
  <conditionalFormatting sqref="AN44">
    <cfRule type="cellIs" dxfId="356" priority="357" operator="equal">
      <formula>$AN$63/2</formula>
    </cfRule>
  </conditionalFormatting>
  <conditionalFormatting sqref="AN44">
    <cfRule type="cellIs" dxfId="355" priority="356" operator="greaterThan">
      <formula>$AN$63/2</formula>
    </cfRule>
  </conditionalFormatting>
  <conditionalFormatting sqref="AN44">
    <cfRule type="cellIs" dxfId="354" priority="355" operator="lessThan">
      <formula>$AN$63/2</formula>
    </cfRule>
  </conditionalFormatting>
  <conditionalFormatting sqref="AO29">
    <cfRule type="cellIs" dxfId="353" priority="354" operator="equal">
      <formula>$AO$48/2</formula>
    </cfRule>
  </conditionalFormatting>
  <conditionalFormatting sqref="AO29">
    <cfRule type="cellIs" dxfId="352" priority="353" operator="greaterThan">
      <formula>$AO$48/2</formula>
    </cfRule>
  </conditionalFormatting>
  <conditionalFormatting sqref="AO29">
    <cfRule type="cellIs" dxfId="351" priority="352" operator="lessThan">
      <formula>$AO$48/2</formula>
    </cfRule>
  </conditionalFormatting>
  <conditionalFormatting sqref="AO30">
    <cfRule type="cellIs" dxfId="350" priority="351" operator="equal">
      <formula>$AO$49/2</formula>
    </cfRule>
  </conditionalFormatting>
  <conditionalFormatting sqref="AO30">
    <cfRule type="cellIs" dxfId="349" priority="350" operator="greaterThan">
      <formula>$AO$49/2</formula>
    </cfRule>
  </conditionalFormatting>
  <conditionalFormatting sqref="AO30">
    <cfRule type="cellIs" dxfId="348" priority="349" operator="lessThan">
      <formula>$AO$49/2</formula>
    </cfRule>
  </conditionalFormatting>
  <conditionalFormatting sqref="AO31">
    <cfRule type="cellIs" dxfId="347" priority="348" operator="equal">
      <formula>$AO$50/2</formula>
    </cfRule>
  </conditionalFormatting>
  <conditionalFormatting sqref="AO31">
    <cfRule type="cellIs" dxfId="346" priority="347" operator="greaterThan">
      <formula>$AO$50/2</formula>
    </cfRule>
  </conditionalFormatting>
  <conditionalFormatting sqref="AO31">
    <cfRule type="cellIs" dxfId="345" priority="346" operator="lessThan">
      <formula>$AO$50/2</formula>
    </cfRule>
  </conditionalFormatting>
  <conditionalFormatting sqref="AO32">
    <cfRule type="cellIs" dxfId="344" priority="345" operator="equal">
      <formula>$AO$51/2</formula>
    </cfRule>
  </conditionalFormatting>
  <conditionalFormatting sqref="AO32">
    <cfRule type="cellIs" dxfId="343" priority="344" operator="greaterThan">
      <formula>$AO$51/2</formula>
    </cfRule>
  </conditionalFormatting>
  <conditionalFormatting sqref="AO32">
    <cfRule type="cellIs" dxfId="342" priority="343" operator="lessThan">
      <formula>$AO$51/2</formula>
    </cfRule>
  </conditionalFormatting>
  <conditionalFormatting sqref="AO33">
    <cfRule type="cellIs" dxfId="341" priority="342" operator="equal">
      <formula>$AO$52/2</formula>
    </cfRule>
  </conditionalFormatting>
  <conditionalFormatting sqref="AO33">
    <cfRule type="cellIs" dxfId="340" priority="341" operator="greaterThan">
      <formula>$AO$52/2</formula>
    </cfRule>
  </conditionalFormatting>
  <conditionalFormatting sqref="AO33">
    <cfRule type="cellIs" dxfId="339" priority="340" operator="lessThan">
      <formula>$AO$52/2</formula>
    </cfRule>
  </conditionalFormatting>
  <conditionalFormatting sqref="AO34">
    <cfRule type="cellIs" dxfId="338" priority="339" operator="equal">
      <formula>$AO$53/2</formula>
    </cfRule>
  </conditionalFormatting>
  <conditionalFormatting sqref="AO34">
    <cfRule type="cellIs" dxfId="337" priority="338" operator="greaterThan">
      <formula>$AO$53/2</formula>
    </cfRule>
  </conditionalFormatting>
  <conditionalFormatting sqref="AO34">
    <cfRule type="cellIs" dxfId="336" priority="337" operator="lessThan">
      <formula>$AO$53/2</formula>
    </cfRule>
  </conditionalFormatting>
  <conditionalFormatting sqref="AO35">
    <cfRule type="cellIs" dxfId="335" priority="336" operator="equal">
      <formula>$AO$54/2</formula>
    </cfRule>
  </conditionalFormatting>
  <conditionalFormatting sqref="AO35">
    <cfRule type="cellIs" dxfId="334" priority="335" operator="greaterThan">
      <formula>$AO$54/2</formula>
    </cfRule>
  </conditionalFormatting>
  <conditionalFormatting sqref="AO35">
    <cfRule type="cellIs" dxfId="333" priority="334" operator="lessThan">
      <formula>$AO$54/2</formula>
    </cfRule>
  </conditionalFormatting>
  <conditionalFormatting sqref="AO36">
    <cfRule type="cellIs" dxfId="332" priority="333" operator="equal">
      <formula>$AO$55/2</formula>
    </cfRule>
  </conditionalFormatting>
  <conditionalFormatting sqref="AO36">
    <cfRule type="cellIs" dxfId="331" priority="332" operator="greaterThan">
      <formula>$AO$55/2</formula>
    </cfRule>
  </conditionalFormatting>
  <conditionalFormatting sqref="AO36">
    <cfRule type="cellIs" dxfId="330" priority="331" operator="lessThan">
      <formula>$AO$55/2</formula>
    </cfRule>
  </conditionalFormatting>
  <conditionalFormatting sqref="AO37">
    <cfRule type="cellIs" dxfId="329" priority="330" operator="equal">
      <formula>$AO$56/2</formula>
    </cfRule>
  </conditionalFormatting>
  <conditionalFormatting sqref="AO37">
    <cfRule type="cellIs" dxfId="328" priority="329" operator="greaterThan">
      <formula>$AO$56/2</formula>
    </cfRule>
  </conditionalFormatting>
  <conditionalFormatting sqref="AO37">
    <cfRule type="cellIs" dxfId="327" priority="328" operator="lessThan">
      <formula>$AO$56/2</formula>
    </cfRule>
  </conditionalFormatting>
  <conditionalFormatting sqref="AO38">
    <cfRule type="cellIs" dxfId="326" priority="327" operator="equal">
      <formula>$AO$57/2</formula>
    </cfRule>
  </conditionalFormatting>
  <conditionalFormatting sqref="AO38">
    <cfRule type="cellIs" dxfId="325" priority="326" operator="greaterThan">
      <formula>$AO$57/2</formula>
    </cfRule>
  </conditionalFormatting>
  <conditionalFormatting sqref="AO38">
    <cfRule type="cellIs" dxfId="324" priority="325" operator="lessThan">
      <formula>$AO$57/2</formula>
    </cfRule>
  </conditionalFormatting>
  <conditionalFormatting sqref="AO39">
    <cfRule type="cellIs" dxfId="323" priority="324" operator="equal">
      <formula>$AO$58/2</formula>
    </cfRule>
  </conditionalFormatting>
  <conditionalFormatting sqref="AO39">
    <cfRule type="cellIs" dxfId="322" priority="323" operator="greaterThan">
      <formula>$AO$58/2</formula>
    </cfRule>
  </conditionalFormatting>
  <conditionalFormatting sqref="AO39">
    <cfRule type="cellIs" dxfId="321" priority="322" operator="lessThan">
      <formula>$AO$58/2</formula>
    </cfRule>
  </conditionalFormatting>
  <conditionalFormatting sqref="AO40">
    <cfRule type="cellIs" dxfId="320" priority="321" operator="equal">
      <formula>$AO$59/2</formula>
    </cfRule>
  </conditionalFormatting>
  <conditionalFormatting sqref="AO40">
    <cfRule type="cellIs" dxfId="319" priority="320" operator="greaterThan">
      <formula>$AO$59/2</formula>
    </cfRule>
  </conditionalFormatting>
  <conditionalFormatting sqref="AO40">
    <cfRule type="cellIs" dxfId="318" priority="319" operator="lessThan">
      <formula>$AO$59/2</formula>
    </cfRule>
  </conditionalFormatting>
  <conditionalFormatting sqref="AO41">
    <cfRule type="cellIs" dxfId="317" priority="318" operator="equal">
      <formula>$AO$60/2</formula>
    </cfRule>
  </conditionalFormatting>
  <conditionalFormatting sqref="AO41">
    <cfRule type="cellIs" dxfId="316" priority="317" operator="greaterThan">
      <formula>$AO$60/2</formula>
    </cfRule>
  </conditionalFormatting>
  <conditionalFormatting sqref="AO41">
    <cfRule type="cellIs" dxfId="315" priority="316" operator="lessThan">
      <formula>$AO$60/2</formula>
    </cfRule>
  </conditionalFormatting>
  <conditionalFormatting sqref="AO42">
    <cfRule type="cellIs" dxfId="314" priority="315" operator="equal">
      <formula>$AO$61/2</formula>
    </cfRule>
  </conditionalFormatting>
  <conditionalFormatting sqref="AO42">
    <cfRule type="cellIs" dxfId="313" priority="314" operator="greaterThan">
      <formula>$AO$61/2</formula>
    </cfRule>
  </conditionalFormatting>
  <conditionalFormatting sqref="AO42">
    <cfRule type="cellIs" dxfId="312" priority="313" operator="lessThan">
      <formula>$AO$61/2</formula>
    </cfRule>
  </conditionalFormatting>
  <conditionalFormatting sqref="AO43">
    <cfRule type="cellIs" dxfId="311" priority="312" operator="equal">
      <formula>$AO$62/2</formula>
    </cfRule>
  </conditionalFormatting>
  <conditionalFormatting sqref="AO43">
    <cfRule type="cellIs" dxfId="310" priority="311" operator="greaterThan">
      <formula>$AO$62/2</formula>
    </cfRule>
  </conditionalFormatting>
  <conditionalFormatting sqref="AO43">
    <cfRule type="cellIs" dxfId="309" priority="310" operator="lessThan">
      <formula>$AO$62/2</formula>
    </cfRule>
  </conditionalFormatting>
  <conditionalFormatting sqref="AO44">
    <cfRule type="cellIs" dxfId="308" priority="309" operator="equal">
      <formula>$AO$63/2</formula>
    </cfRule>
  </conditionalFormatting>
  <conditionalFormatting sqref="AO44">
    <cfRule type="cellIs" dxfId="307" priority="308" operator="greaterThan">
      <formula>$AO$63/2</formula>
    </cfRule>
  </conditionalFormatting>
  <conditionalFormatting sqref="AO44">
    <cfRule type="cellIs" dxfId="306" priority="307" operator="lessThan">
      <formula>$AO$63/2</formula>
    </cfRule>
  </conditionalFormatting>
  <conditionalFormatting sqref="AP29">
    <cfRule type="cellIs" dxfId="305" priority="306" operator="equal">
      <formula>$AP$48/2</formula>
    </cfRule>
  </conditionalFormatting>
  <conditionalFormatting sqref="AP29">
    <cfRule type="cellIs" dxfId="304" priority="305" operator="greaterThan">
      <formula>$AP$48/2</formula>
    </cfRule>
  </conditionalFormatting>
  <conditionalFormatting sqref="AP29">
    <cfRule type="cellIs" dxfId="303" priority="304" operator="lessThan">
      <formula>$AP$48/2</formula>
    </cfRule>
  </conditionalFormatting>
  <conditionalFormatting sqref="AP30">
    <cfRule type="cellIs" dxfId="302" priority="303" operator="equal">
      <formula>$AP$49/2</formula>
    </cfRule>
  </conditionalFormatting>
  <conditionalFormatting sqref="AP30">
    <cfRule type="cellIs" dxfId="301" priority="302" operator="greaterThan">
      <formula>$AP$49/2</formula>
    </cfRule>
  </conditionalFormatting>
  <conditionalFormatting sqref="AP30">
    <cfRule type="cellIs" dxfId="300" priority="301" operator="lessThan">
      <formula>$AP$49/2</formula>
    </cfRule>
  </conditionalFormatting>
  <conditionalFormatting sqref="AP31">
    <cfRule type="cellIs" dxfId="299" priority="300" operator="equal">
      <formula>$AP$50/2</formula>
    </cfRule>
  </conditionalFormatting>
  <conditionalFormatting sqref="AP31">
    <cfRule type="cellIs" dxfId="298" priority="299" operator="greaterThan">
      <formula>$AP$50/2</formula>
    </cfRule>
  </conditionalFormatting>
  <conditionalFormatting sqref="AP31">
    <cfRule type="cellIs" dxfId="297" priority="298" operator="lessThan">
      <formula>$AP$50/2</formula>
    </cfRule>
  </conditionalFormatting>
  <conditionalFormatting sqref="AP32">
    <cfRule type="cellIs" dxfId="296" priority="297" operator="equal">
      <formula>$AP$51/2</formula>
    </cfRule>
  </conditionalFormatting>
  <conditionalFormatting sqref="AP32">
    <cfRule type="cellIs" dxfId="295" priority="296" operator="greaterThan">
      <formula>$AP$51/2</formula>
    </cfRule>
  </conditionalFormatting>
  <conditionalFormatting sqref="AP32">
    <cfRule type="cellIs" dxfId="294" priority="295" operator="lessThan">
      <formula>$AP$51/2</formula>
    </cfRule>
  </conditionalFormatting>
  <conditionalFormatting sqref="AP33">
    <cfRule type="cellIs" dxfId="293" priority="294" operator="equal">
      <formula>$AP$52/2</formula>
    </cfRule>
  </conditionalFormatting>
  <conditionalFormatting sqref="AP33">
    <cfRule type="cellIs" dxfId="292" priority="293" operator="greaterThan">
      <formula>$AP$52/2</formula>
    </cfRule>
  </conditionalFormatting>
  <conditionalFormatting sqref="AP33">
    <cfRule type="cellIs" dxfId="291" priority="292" operator="lessThan">
      <formula>$AP$52/2</formula>
    </cfRule>
  </conditionalFormatting>
  <conditionalFormatting sqref="AP34">
    <cfRule type="cellIs" dxfId="290" priority="291" operator="equal">
      <formula>$AP$53/2</formula>
    </cfRule>
  </conditionalFormatting>
  <conditionalFormatting sqref="AP34">
    <cfRule type="cellIs" dxfId="289" priority="290" operator="greaterThan">
      <formula>$AP$53/2</formula>
    </cfRule>
  </conditionalFormatting>
  <conditionalFormatting sqref="AP34">
    <cfRule type="cellIs" dxfId="288" priority="289" operator="lessThan">
      <formula>$AP$53/2</formula>
    </cfRule>
  </conditionalFormatting>
  <conditionalFormatting sqref="AP35">
    <cfRule type="cellIs" dxfId="287" priority="288" operator="equal">
      <formula>$AP$54/2</formula>
    </cfRule>
  </conditionalFormatting>
  <conditionalFormatting sqref="AP35">
    <cfRule type="cellIs" dxfId="286" priority="287" operator="greaterThan">
      <formula>$AP$54/2</formula>
    </cfRule>
  </conditionalFormatting>
  <conditionalFormatting sqref="AP35">
    <cfRule type="cellIs" dxfId="285" priority="286" operator="lessThan">
      <formula>$AP$54/2</formula>
    </cfRule>
  </conditionalFormatting>
  <conditionalFormatting sqref="AP36">
    <cfRule type="cellIs" dxfId="284" priority="285" operator="equal">
      <formula>$AP$55/2</formula>
    </cfRule>
  </conditionalFormatting>
  <conditionalFormatting sqref="AP36">
    <cfRule type="cellIs" dxfId="283" priority="284" operator="greaterThan">
      <formula>$AP$55/2</formula>
    </cfRule>
  </conditionalFormatting>
  <conditionalFormatting sqref="AP36">
    <cfRule type="cellIs" dxfId="282" priority="283" operator="lessThan">
      <formula>$AP$55/2</formula>
    </cfRule>
  </conditionalFormatting>
  <conditionalFormatting sqref="AP37">
    <cfRule type="cellIs" dxfId="281" priority="282" operator="equal">
      <formula>$AP$56/2</formula>
    </cfRule>
  </conditionalFormatting>
  <conditionalFormatting sqref="AP37">
    <cfRule type="cellIs" dxfId="280" priority="281" operator="greaterThan">
      <formula>$AP$56/2</formula>
    </cfRule>
  </conditionalFormatting>
  <conditionalFormatting sqref="AP37">
    <cfRule type="cellIs" dxfId="279" priority="280" operator="lessThan">
      <formula>$AP$56/2</formula>
    </cfRule>
  </conditionalFormatting>
  <conditionalFormatting sqref="AP38">
    <cfRule type="cellIs" dxfId="278" priority="279" operator="equal">
      <formula>$AP$57/2</formula>
    </cfRule>
  </conditionalFormatting>
  <conditionalFormatting sqref="AP38">
    <cfRule type="cellIs" dxfId="277" priority="278" operator="greaterThan">
      <formula>$AP$57/2</formula>
    </cfRule>
  </conditionalFormatting>
  <conditionalFormatting sqref="AP38">
    <cfRule type="cellIs" dxfId="276" priority="277" operator="lessThan">
      <formula>$AP$57/2</formula>
    </cfRule>
  </conditionalFormatting>
  <conditionalFormatting sqref="AP39">
    <cfRule type="cellIs" dxfId="275" priority="276" operator="equal">
      <formula>$AP$58/2</formula>
    </cfRule>
  </conditionalFormatting>
  <conditionalFormatting sqref="AP39">
    <cfRule type="cellIs" dxfId="274" priority="275" operator="greaterThan">
      <formula>$AP$58/2</formula>
    </cfRule>
  </conditionalFormatting>
  <conditionalFormatting sqref="AP39">
    <cfRule type="cellIs" dxfId="273" priority="274" operator="lessThan">
      <formula>$AP$58/2</formula>
    </cfRule>
  </conditionalFormatting>
  <conditionalFormatting sqref="AP40">
    <cfRule type="cellIs" dxfId="272" priority="273" operator="equal">
      <formula>$AP$59/2</formula>
    </cfRule>
  </conditionalFormatting>
  <conditionalFormatting sqref="AP40">
    <cfRule type="cellIs" dxfId="271" priority="272" operator="greaterThan">
      <formula>$AP$59/2</formula>
    </cfRule>
  </conditionalFormatting>
  <conditionalFormatting sqref="AP40">
    <cfRule type="cellIs" dxfId="270" priority="271" operator="lessThan">
      <formula>$AP$59/2</formula>
    </cfRule>
  </conditionalFormatting>
  <conditionalFormatting sqref="AP41">
    <cfRule type="cellIs" dxfId="269" priority="270" operator="equal">
      <formula>$AP$60/2</formula>
    </cfRule>
  </conditionalFormatting>
  <conditionalFormatting sqref="AP41">
    <cfRule type="cellIs" dxfId="268" priority="269" operator="greaterThan">
      <formula>$AP$60/2</formula>
    </cfRule>
  </conditionalFormatting>
  <conditionalFormatting sqref="AP41">
    <cfRule type="cellIs" dxfId="267" priority="268" operator="lessThan">
      <formula>$AP$60/2</formula>
    </cfRule>
  </conditionalFormatting>
  <conditionalFormatting sqref="AP42">
    <cfRule type="cellIs" dxfId="266" priority="267" operator="equal">
      <formula>$AP$61/2</formula>
    </cfRule>
  </conditionalFormatting>
  <conditionalFormatting sqref="AP42">
    <cfRule type="cellIs" dxfId="265" priority="266" operator="greaterThan">
      <formula>$AP$61/2</formula>
    </cfRule>
  </conditionalFormatting>
  <conditionalFormatting sqref="AP42">
    <cfRule type="cellIs" dxfId="264" priority="265" operator="lessThan">
      <formula>$AP$61/2</formula>
    </cfRule>
  </conditionalFormatting>
  <conditionalFormatting sqref="AP43">
    <cfRule type="cellIs" dxfId="263" priority="264" operator="equal">
      <formula>$AP$62/2</formula>
    </cfRule>
  </conditionalFormatting>
  <conditionalFormatting sqref="AP43">
    <cfRule type="cellIs" dxfId="262" priority="263" operator="greaterThan">
      <formula>$AP$62/2</formula>
    </cfRule>
  </conditionalFormatting>
  <conditionalFormatting sqref="AP43">
    <cfRule type="cellIs" dxfId="261" priority="262" operator="lessThan">
      <formula>$AP$62/2</formula>
    </cfRule>
  </conditionalFormatting>
  <conditionalFormatting sqref="AP44">
    <cfRule type="cellIs" dxfId="260" priority="261" operator="equal">
      <formula>$AP$63/2</formula>
    </cfRule>
  </conditionalFormatting>
  <conditionalFormatting sqref="AP44">
    <cfRule type="cellIs" dxfId="259" priority="260" operator="greaterThan">
      <formula>$AP$63/2</formula>
    </cfRule>
  </conditionalFormatting>
  <conditionalFormatting sqref="AP44">
    <cfRule type="cellIs" dxfId="258" priority="259" operator="lessThan">
      <formula>$AP$63/2</formula>
    </cfRule>
  </conditionalFormatting>
  <conditionalFormatting sqref="AQ29">
    <cfRule type="cellIs" dxfId="257" priority="258" operator="equal">
      <formula>$AQ$48/2</formula>
    </cfRule>
  </conditionalFormatting>
  <conditionalFormatting sqref="AQ29">
    <cfRule type="cellIs" dxfId="256" priority="257" operator="greaterThan">
      <formula>$AQ$48/2</formula>
    </cfRule>
  </conditionalFormatting>
  <conditionalFormatting sqref="AQ29">
    <cfRule type="cellIs" dxfId="255" priority="256" operator="lessThan">
      <formula>$AQ$48/2</formula>
    </cfRule>
  </conditionalFormatting>
  <conditionalFormatting sqref="AQ30">
    <cfRule type="cellIs" dxfId="254" priority="255" operator="equal">
      <formula>$AQ$49/2</formula>
    </cfRule>
  </conditionalFormatting>
  <conditionalFormatting sqref="AQ30">
    <cfRule type="cellIs" dxfId="253" priority="254" operator="greaterThan">
      <formula>$AQ$49/2</formula>
    </cfRule>
  </conditionalFormatting>
  <conditionalFormatting sqref="AQ30">
    <cfRule type="cellIs" dxfId="252" priority="253" operator="lessThan">
      <formula>$AQ$49/2</formula>
    </cfRule>
  </conditionalFormatting>
  <conditionalFormatting sqref="AQ31">
    <cfRule type="cellIs" dxfId="251" priority="252" operator="equal">
      <formula>$AQ$50/2</formula>
    </cfRule>
  </conditionalFormatting>
  <conditionalFormatting sqref="AQ31">
    <cfRule type="cellIs" dxfId="250" priority="251" operator="greaterThan">
      <formula>$AQ$50/2</formula>
    </cfRule>
  </conditionalFormatting>
  <conditionalFormatting sqref="AQ31">
    <cfRule type="cellIs" dxfId="249" priority="250" operator="lessThan">
      <formula>$AQ$50/2</formula>
    </cfRule>
  </conditionalFormatting>
  <conditionalFormatting sqref="AQ32">
    <cfRule type="cellIs" dxfId="248" priority="249" operator="equal">
      <formula>$AQ$51/2</formula>
    </cfRule>
  </conditionalFormatting>
  <conditionalFormatting sqref="AQ32">
    <cfRule type="cellIs" dxfId="247" priority="248" operator="greaterThan">
      <formula>$AQ$51/2</formula>
    </cfRule>
  </conditionalFormatting>
  <conditionalFormatting sqref="AQ32">
    <cfRule type="cellIs" dxfId="246" priority="247" operator="lessThan">
      <formula>$AQ$51/2</formula>
    </cfRule>
  </conditionalFormatting>
  <conditionalFormatting sqref="AQ33">
    <cfRule type="cellIs" dxfId="245" priority="246" operator="equal">
      <formula>$AQ$52/2</formula>
    </cfRule>
  </conditionalFormatting>
  <conditionalFormatting sqref="AQ33">
    <cfRule type="cellIs" dxfId="244" priority="245" operator="greaterThan">
      <formula>$AQ$52/2</formula>
    </cfRule>
  </conditionalFormatting>
  <conditionalFormatting sqref="AQ33">
    <cfRule type="cellIs" dxfId="243" priority="244" operator="lessThan">
      <formula>$AQ$52/2</formula>
    </cfRule>
  </conditionalFormatting>
  <conditionalFormatting sqref="AQ34">
    <cfRule type="cellIs" dxfId="242" priority="243" operator="equal">
      <formula>$AQ$53/2</formula>
    </cfRule>
  </conditionalFormatting>
  <conditionalFormatting sqref="AQ34">
    <cfRule type="cellIs" dxfId="241" priority="242" operator="greaterThan">
      <formula>$AQ$53/2</formula>
    </cfRule>
  </conditionalFormatting>
  <conditionalFormatting sqref="AQ34">
    <cfRule type="cellIs" dxfId="240" priority="241" operator="lessThan">
      <formula>$AQ$53/2</formula>
    </cfRule>
  </conditionalFormatting>
  <conditionalFormatting sqref="AQ35">
    <cfRule type="cellIs" dxfId="239" priority="240" operator="equal">
      <formula>$AQ$54/2</formula>
    </cfRule>
  </conditionalFormatting>
  <conditionalFormatting sqref="AQ35">
    <cfRule type="cellIs" dxfId="238" priority="239" operator="greaterThan">
      <formula>$AQ$54/2</formula>
    </cfRule>
  </conditionalFormatting>
  <conditionalFormatting sqref="AQ35">
    <cfRule type="cellIs" dxfId="237" priority="238" operator="lessThan">
      <formula>$AQ$54/2</formula>
    </cfRule>
  </conditionalFormatting>
  <conditionalFormatting sqref="AQ36">
    <cfRule type="cellIs" dxfId="236" priority="237" operator="equal">
      <formula>$AQ$55/2</formula>
    </cfRule>
  </conditionalFormatting>
  <conditionalFormatting sqref="AQ36">
    <cfRule type="cellIs" dxfId="235" priority="236" operator="greaterThan">
      <formula>$AQ$55/2</formula>
    </cfRule>
  </conditionalFormatting>
  <conditionalFormatting sqref="AQ36">
    <cfRule type="cellIs" dxfId="234" priority="235" operator="lessThan">
      <formula>$AQ$55/2</formula>
    </cfRule>
  </conditionalFormatting>
  <conditionalFormatting sqref="AQ37">
    <cfRule type="cellIs" dxfId="233" priority="234" operator="equal">
      <formula>$AQ$56/2</formula>
    </cfRule>
  </conditionalFormatting>
  <conditionalFormatting sqref="AQ37">
    <cfRule type="cellIs" dxfId="232" priority="233" operator="greaterThan">
      <formula>$AQ$56/2</formula>
    </cfRule>
  </conditionalFormatting>
  <conditionalFormatting sqref="AQ37">
    <cfRule type="cellIs" dxfId="231" priority="232" operator="lessThan">
      <formula>$AQ$56/2</formula>
    </cfRule>
  </conditionalFormatting>
  <conditionalFormatting sqref="AQ38">
    <cfRule type="cellIs" dxfId="230" priority="231" operator="equal">
      <formula>$AQ$57/2</formula>
    </cfRule>
  </conditionalFormatting>
  <conditionalFormatting sqref="AQ38">
    <cfRule type="cellIs" dxfId="229" priority="230" operator="greaterThan">
      <formula>$AQ$57/2</formula>
    </cfRule>
  </conditionalFormatting>
  <conditionalFormatting sqref="AQ38">
    <cfRule type="cellIs" dxfId="228" priority="229" operator="lessThan">
      <formula>$AQ$57/2</formula>
    </cfRule>
  </conditionalFormatting>
  <conditionalFormatting sqref="AQ39">
    <cfRule type="cellIs" dxfId="227" priority="228" operator="equal">
      <formula>$AQ$58/2</formula>
    </cfRule>
  </conditionalFormatting>
  <conditionalFormatting sqref="AQ39">
    <cfRule type="cellIs" dxfId="226" priority="227" operator="greaterThan">
      <formula>$AQ$58/2</formula>
    </cfRule>
  </conditionalFormatting>
  <conditionalFormatting sqref="AQ39">
    <cfRule type="cellIs" dxfId="225" priority="226" operator="lessThan">
      <formula>$AQ$58/2</formula>
    </cfRule>
  </conditionalFormatting>
  <conditionalFormatting sqref="AQ40">
    <cfRule type="cellIs" dxfId="224" priority="225" operator="equal">
      <formula>$AQ$59/2</formula>
    </cfRule>
  </conditionalFormatting>
  <conditionalFormatting sqref="AQ40">
    <cfRule type="cellIs" dxfId="223" priority="224" operator="greaterThan">
      <formula>$AQ$59/2</formula>
    </cfRule>
  </conditionalFormatting>
  <conditionalFormatting sqref="AQ40">
    <cfRule type="cellIs" dxfId="222" priority="223" operator="lessThan">
      <formula>$AQ$59/2</formula>
    </cfRule>
  </conditionalFormatting>
  <conditionalFormatting sqref="AQ41">
    <cfRule type="cellIs" dxfId="221" priority="222" operator="equal">
      <formula>$AQ$60/2</formula>
    </cfRule>
  </conditionalFormatting>
  <conditionalFormatting sqref="AQ41">
    <cfRule type="cellIs" dxfId="220" priority="221" operator="greaterThan">
      <formula>$AQ$60/2</formula>
    </cfRule>
  </conditionalFormatting>
  <conditionalFormatting sqref="AQ41">
    <cfRule type="cellIs" dxfId="219" priority="220" operator="lessThan">
      <formula>$AQ$60/2</formula>
    </cfRule>
  </conditionalFormatting>
  <conditionalFormatting sqref="AQ42">
    <cfRule type="cellIs" dxfId="218" priority="219" operator="equal">
      <formula>$AQ$61/2</formula>
    </cfRule>
  </conditionalFormatting>
  <conditionalFormatting sqref="AQ42">
    <cfRule type="cellIs" dxfId="217" priority="218" operator="greaterThan">
      <formula>$AQ$61/2</formula>
    </cfRule>
  </conditionalFormatting>
  <conditionalFormatting sqref="AQ42">
    <cfRule type="cellIs" dxfId="216" priority="217" operator="lessThan">
      <formula>$AQ$61/2</formula>
    </cfRule>
  </conditionalFormatting>
  <conditionalFormatting sqref="AQ43">
    <cfRule type="cellIs" dxfId="215" priority="216" operator="equal">
      <formula>$AQ$62/2</formula>
    </cfRule>
  </conditionalFormatting>
  <conditionalFormatting sqref="AQ43">
    <cfRule type="cellIs" dxfId="214" priority="215" operator="greaterThan">
      <formula>$AQ$62/2</formula>
    </cfRule>
  </conditionalFormatting>
  <conditionalFormatting sqref="AQ43">
    <cfRule type="cellIs" dxfId="213" priority="214" operator="lessThan">
      <formula>$AQ$62/2</formula>
    </cfRule>
  </conditionalFormatting>
  <conditionalFormatting sqref="AQ44">
    <cfRule type="cellIs" dxfId="212" priority="213" operator="equal">
      <formula>$AQ$63/2</formula>
    </cfRule>
  </conditionalFormatting>
  <conditionalFormatting sqref="AQ44">
    <cfRule type="cellIs" dxfId="211" priority="212" operator="greaterThan">
      <formula>$AQ$63/2</formula>
    </cfRule>
  </conditionalFormatting>
  <conditionalFormatting sqref="AQ44">
    <cfRule type="cellIs" dxfId="210" priority="211" operator="lessThan">
      <formula>$AQ$63/2</formula>
    </cfRule>
  </conditionalFormatting>
  <conditionalFormatting sqref="AR29">
    <cfRule type="cellIs" dxfId="209" priority="210" operator="equal">
      <formula>$AR$48/2</formula>
    </cfRule>
  </conditionalFormatting>
  <conditionalFormatting sqref="AR29">
    <cfRule type="cellIs" dxfId="208" priority="209" operator="greaterThan">
      <formula>$AR$48/2</formula>
    </cfRule>
  </conditionalFormatting>
  <conditionalFormatting sqref="AR29">
    <cfRule type="cellIs" dxfId="207" priority="208" operator="lessThan">
      <formula>$AR$48/2</formula>
    </cfRule>
  </conditionalFormatting>
  <conditionalFormatting sqref="AR30">
    <cfRule type="cellIs" dxfId="206" priority="207" operator="equal">
      <formula>$AR$49/2</formula>
    </cfRule>
  </conditionalFormatting>
  <conditionalFormatting sqref="AR30">
    <cfRule type="cellIs" dxfId="205" priority="206" operator="greaterThan">
      <formula>$AR$49/2</formula>
    </cfRule>
  </conditionalFormatting>
  <conditionalFormatting sqref="AR30">
    <cfRule type="cellIs" dxfId="204" priority="205" operator="lessThan">
      <formula>$AR$49/2</formula>
    </cfRule>
  </conditionalFormatting>
  <conditionalFormatting sqref="AR31">
    <cfRule type="cellIs" dxfId="203" priority="204" operator="equal">
      <formula>$AR$50/2</formula>
    </cfRule>
  </conditionalFormatting>
  <conditionalFormatting sqref="AR31">
    <cfRule type="cellIs" dxfId="202" priority="203" operator="greaterThan">
      <formula>$AR$50/2</formula>
    </cfRule>
  </conditionalFormatting>
  <conditionalFormatting sqref="AR31">
    <cfRule type="cellIs" dxfId="201" priority="202" operator="lessThan">
      <formula>$AR$50/2</formula>
    </cfRule>
  </conditionalFormatting>
  <conditionalFormatting sqref="AR32">
    <cfRule type="cellIs" dxfId="200" priority="201" operator="equal">
      <formula>$AR$51/2</formula>
    </cfRule>
  </conditionalFormatting>
  <conditionalFormatting sqref="AR32">
    <cfRule type="cellIs" dxfId="199" priority="200" operator="greaterThan">
      <formula>$AR$51/2</formula>
    </cfRule>
  </conditionalFormatting>
  <conditionalFormatting sqref="AR32">
    <cfRule type="cellIs" dxfId="198" priority="199" operator="lessThan">
      <formula>$AR$51/2</formula>
    </cfRule>
  </conditionalFormatting>
  <conditionalFormatting sqref="AR33">
    <cfRule type="cellIs" dxfId="197" priority="198" operator="equal">
      <formula>$AR$52/2</formula>
    </cfRule>
  </conditionalFormatting>
  <conditionalFormatting sqref="AR33">
    <cfRule type="cellIs" dxfId="196" priority="197" operator="greaterThan">
      <formula>$AR$52/2</formula>
    </cfRule>
  </conditionalFormatting>
  <conditionalFormatting sqref="AR33">
    <cfRule type="cellIs" dxfId="195" priority="196" operator="lessThan">
      <formula>$AR$52/2</formula>
    </cfRule>
  </conditionalFormatting>
  <conditionalFormatting sqref="AR34">
    <cfRule type="cellIs" dxfId="194" priority="195" operator="equal">
      <formula>$AR$53/2</formula>
    </cfRule>
  </conditionalFormatting>
  <conditionalFormatting sqref="AR34">
    <cfRule type="cellIs" dxfId="193" priority="194" operator="greaterThan">
      <formula>$AR$53/2</formula>
    </cfRule>
  </conditionalFormatting>
  <conditionalFormatting sqref="AR34">
    <cfRule type="cellIs" dxfId="192" priority="193" operator="lessThan">
      <formula>$AR$53/2</formula>
    </cfRule>
  </conditionalFormatting>
  <conditionalFormatting sqref="AR35">
    <cfRule type="cellIs" dxfId="191" priority="192" operator="equal">
      <formula>$AR$54/2</formula>
    </cfRule>
  </conditionalFormatting>
  <conditionalFormatting sqref="AR35">
    <cfRule type="cellIs" dxfId="190" priority="191" operator="greaterThan">
      <formula>$AR$54/2</formula>
    </cfRule>
  </conditionalFormatting>
  <conditionalFormatting sqref="AR35">
    <cfRule type="cellIs" dxfId="189" priority="190" operator="lessThan">
      <formula>$AR$54/2</formula>
    </cfRule>
  </conditionalFormatting>
  <conditionalFormatting sqref="AR36">
    <cfRule type="cellIs" dxfId="188" priority="189" operator="equal">
      <formula>$AR$55/2</formula>
    </cfRule>
  </conditionalFormatting>
  <conditionalFormatting sqref="AR36">
    <cfRule type="cellIs" dxfId="187" priority="188" operator="greaterThan">
      <formula>$AR$55/2</formula>
    </cfRule>
  </conditionalFormatting>
  <conditionalFormatting sqref="AR36">
    <cfRule type="cellIs" dxfId="186" priority="187" operator="lessThan">
      <formula>$AR$55/2</formula>
    </cfRule>
  </conditionalFormatting>
  <conditionalFormatting sqref="AR37">
    <cfRule type="cellIs" dxfId="185" priority="186" operator="equal">
      <formula>$AR$56/2</formula>
    </cfRule>
  </conditionalFormatting>
  <conditionalFormatting sqref="AR37">
    <cfRule type="cellIs" dxfId="184" priority="185" operator="greaterThan">
      <formula>$AR$56/2</formula>
    </cfRule>
  </conditionalFormatting>
  <conditionalFormatting sqref="AR37">
    <cfRule type="cellIs" dxfId="183" priority="184" operator="lessThan">
      <formula>$AR$56/2</formula>
    </cfRule>
  </conditionalFormatting>
  <conditionalFormatting sqref="AR38">
    <cfRule type="cellIs" dxfId="182" priority="183" operator="equal">
      <formula>$AR$57/2</formula>
    </cfRule>
  </conditionalFormatting>
  <conditionalFormatting sqref="AR38">
    <cfRule type="cellIs" dxfId="181" priority="182" operator="greaterThan">
      <formula>$AR$57/2</formula>
    </cfRule>
  </conditionalFormatting>
  <conditionalFormatting sqref="AR38">
    <cfRule type="cellIs" dxfId="180" priority="181" operator="lessThan">
      <formula>$AR$57/2</formula>
    </cfRule>
  </conditionalFormatting>
  <conditionalFormatting sqref="AR39">
    <cfRule type="cellIs" dxfId="179" priority="180" operator="equal">
      <formula>$AR$58/2</formula>
    </cfRule>
  </conditionalFormatting>
  <conditionalFormatting sqref="AR39">
    <cfRule type="cellIs" dxfId="178" priority="179" operator="greaterThan">
      <formula>$AR$58/2</formula>
    </cfRule>
  </conditionalFormatting>
  <conditionalFormatting sqref="AR39">
    <cfRule type="cellIs" dxfId="177" priority="178" operator="lessThan">
      <formula>$AR$58/2</formula>
    </cfRule>
  </conditionalFormatting>
  <conditionalFormatting sqref="AR40">
    <cfRule type="cellIs" dxfId="176" priority="177" operator="equal">
      <formula>$AR$59/2</formula>
    </cfRule>
  </conditionalFormatting>
  <conditionalFormatting sqref="AR40">
    <cfRule type="cellIs" dxfId="175" priority="176" operator="greaterThan">
      <formula>$AR$59/2</formula>
    </cfRule>
  </conditionalFormatting>
  <conditionalFormatting sqref="AR40">
    <cfRule type="cellIs" dxfId="174" priority="175" operator="lessThan">
      <formula>$AR$59/2</formula>
    </cfRule>
  </conditionalFormatting>
  <conditionalFormatting sqref="AR41">
    <cfRule type="cellIs" dxfId="173" priority="174" operator="equal">
      <formula>$AR$60/2</formula>
    </cfRule>
  </conditionalFormatting>
  <conditionalFormatting sqref="AR41">
    <cfRule type="cellIs" dxfId="172" priority="173" operator="greaterThan">
      <formula>$AR$60/2</formula>
    </cfRule>
  </conditionalFormatting>
  <conditionalFormatting sqref="AR41">
    <cfRule type="cellIs" dxfId="171" priority="172" operator="lessThan">
      <formula>$AR$60/2</formula>
    </cfRule>
  </conditionalFormatting>
  <conditionalFormatting sqref="AR42">
    <cfRule type="cellIs" dxfId="170" priority="171" operator="equal">
      <formula>$AR$61/2</formula>
    </cfRule>
  </conditionalFormatting>
  <conditionalFormatting sqref="AR42">
    <cfRule type="cellIs" dxfId="169" priority="170" operator="greaterThan">
      <formula>$AR$61/2</formula>
    </cfRule>
  </conditionalFormatting>
  <conditionalFormatting sqref="AR42">
    <cfRule type="cellIs" dxfId="168" priority="169" operator="lessThan">
      <formula>$AR$61/2</formula>
    </cfRule>
  </conditionalFormatting>
  <conditionalFormatting sqref="AR43">
    <cfRule type="cellIs" dxfId="167" priority="168" operator="equal">
      <formula>$AR$62/2</formula>
    </cfRule>
  </conditionalFormatting>
  <conditionalFormatting sqref="AR43">
    <cfRule type="cellIs" dxfId="166" priority="167" operator="greaterThan">
      <formula>$AR$62/2</formula>
    </cfRule>
  </conditionalFormatting>
  <conditionalFormatting sqref="AR43">
    <cfRule type="cellIs" dxfId="165" priority="166" operator="lessThan">
      <formula>$AR$62/2</formula>
    </cfRule>
  </conditionalFormatting>
  <conditionalFormatting sqref="AR44">
    <cfRule type="cellIs" dxfId="164" priority="165" operator="equal">
      <formula>$AR$63/2</formula>
    </cfRule>
  </conditionalFormatting>
  <conditionalFormatting sqref="AR44">
    <cfRule type="cellIs" dxfId="163" priority="164" operator="greaterThan">
      <formula>$AR$63/2</formula>
    </cfRule>
  </conditionalFormatting>
  <conditionalFormatting sqref="AR44">
    <cfRule type="cellIs" dxfId="162" priority="163" operator="lessThan">
      <formula>$AR$63/2</formula>
    </cfRule>
  </conditionalFormatting>
  <conditionalFormatting sqref="AS29">
    <cfRule type="cellIs" dxfId="161" priority="162" operator="equal">
      <formula>$AS$48/2</formula>
    </cfRule>
  </conditionalFormatting>
  <conditionalFormatting sqref="AS29">
    <cfRule type="cellIs" dxfId="160" priority="161" operator="greaterThan">
      <formula>$AS$48/2</formula>
    </cfRule>
  </conditionalFormatting>
  <conditionalFormatting sqref="AS29">
    <cfRule type="cellIs" dxfId="159" priority="160" operator="lessThan">
      <formula>$AS$48/2</formula>
    </cfRule>
  </conditionalFormatting>
  <conditionalFormatting sqref="AS30">
    <cfRule type="cellIs" dxfId="158" priority="159" operator="equal">
      <formula>$AS$49/2</formula>
    </cfRule>
  </conditionalFormatting>
  <conditionalFormatting sqref="AS30">
    <cfRule type="cellIs" dxfId="157" priority="158" operator="greaterThan">
      <formula>$AS$49/2</formula>
    </cfRule>
  </conditionalFormatting>
  <conditionalFormatting sqref="AS30">
    <cfRule type="cellIs" dxfId="156" priority="157" operator="lessThan">
      <formula>$AS$49/2</formula>
    </cfRule>
  </conditionalFormatting>
  <conditionalFormatting sqref="AS31">
    <cfRule type="cellIs" dxfId="155" priority="156" operator="equal">
      <formula>$AS$50/2</formula>
    </cfRule>
  </conditionalFormatting>
  <conditionalFormatting sqref="AS31">
    <cfRule type="cellIs" dxfId="154" priority="155" operator="greaterThan">
      <formula>$AS$50/2</formula>
    </cfRule>
  </conditionalFormatting>
  <conditionalFormatting sqref="AS31">
    <cfRule type="cellIs" dxfId="153" priority="154" operator="lessThan">
      <formula>$AS$50/2</formula>
    </cfRule>
  </conditionalFormatting>
  <conditionalFormatting sqref="AS32">
    <cfRule type="cellIs" dxfId="152" priority="153" operator="equal">
      <formula>$AS$51/2</formula>
    </cfRule>
  </conditionalFormatting>
  <conditionalFormatting sqref="AS32">
    <cfRule type="cellIs" dxfId="151" priority="152" operator="greaterThan">
      <formula>$AS$51/2</formula>
    </cfRule>
  </conditionalFormatting>
  <conditionalFormatting sqref="AS32">
    <cfRule type="cellIs" dxfId="150" priority="151" operator="lessThan">
      <formula>$AS$51/2</formula>
    </cfRule>
  </conditionalFormatting>
  <conditionalFormatting sqref="AS33">
    <cfRule type="cellIs" dxfId="149" priority="150" operator="equal">
      <formula>$AS$52/2</formula>
    </cfRule>
  </conditionalFormatting>
  <conditionalFormatting sqref="AS33">
    <cfRule type="cellIs" dxfId="148" priority="149" operator="greaterThan">
      <formula>$AS$52/2</formula>
    </cfRule>
  </conditionalFormatting>
  <conditionalFormatting sqref="AS33">
    <cfRule type="cellIs" dxfId="147" priority="148" operator="lessThan">
      <formula>$AS$52/2</formula>
    </cfRule>
  </conditionalFormatting>
  <conditionalFormatting sqref="AS34">
    <cfRule type="cellIs" dxfId="146" priority="147" operator="equal">
      <formula>$AS$53/2</formula>
    </cfRule>
  </conditionalFormatting>
  <conditionalFormatting sqref="AS34">
    <cfRule type="cellIs" dxfId="145" priority="146" operator="greaterThan">
      <formula>$AS$53/2</formula>
    </cfRule>
  </conditionalFormatting>
  <conditionalFormatting sqref="AS34">
    <cfRule type="cellIs" dxfId="144" priority="145" operator="lessThan">
      <formula>$AS$53/2</formula>
    </cfRule>
  </conditionalFormatting>
  <conditionalFormatting sqref="AS35">
    <cfRule type="cellIs" dxfId="143" priority="144" operator="equal">
      <formula>$AS$54/2</formula>
    </cfRule>
  </conditionalFormatting>
  <conditionalFormatting sqref="AS35">
    <cfRule type="cellIs" dxfId="142" priority="143" operator="greaterThan">
      <formula>$AS$54/2</formula>
    </cfRule>
  </conditionalFormatting>
  <conditionalFormatting sqref="AS35">
    <cfRule type="cellIs" dxfId="141" priority="142" operator="lessThan">
      <formula>$AS$54/2</formula>
    </cfRule>
  </conditionalFormatting>
  <conditionalFormatting sqref="AS36">
    <cfRule type="cellIs" dxfId="140" priority="141" operator="equal">
      <formula>$AS$55/2</formula>
    </cfRule>
  </conditionalFormatting>
  <conditionalFormatting sqref="AS36">
    <cfRule type="cellIs" dxfId="139" priority="140" operator="greaterThan">
      <formula>$AS$55/2</formula>
    </cfRule>
  </conditionalFormatting>
  <conditionalFormatting sqref="AS36">
    <cfRule type="cellIs" dxfId="138" priority="139" operator="lessThan">
      <formula>$AS$55/2</formula>
    </cfRule>
  </conditionalFormatting>
  <conditionalFormatting sqref="AS37">
    <cfRule type="cellIs" dxfId="137" priority="138" operator="equal">
      <formula>$AS$56/2</formula>
    </cfRule>
  </conditionalFormatting>
  <conditionalFormatting sqref="AS37">
    <cfRule type="cellIs" dxfId="136" priority="137" operator="greaterThan">
      <formula>$AS$56/2</formula>
    </cfRule>
  </conditionalFormatting>
  <conditionalFormatting sqref="AS37">
    <cfRule type="cellIs" dxfId="135" priority="136" operator="lessThan">
      <formula>$AS$56/2</formula>
    </cfRule>
  </conditionalFormatting>
  <conditionalFormatting sqref="AS38">
    <cfRule type="cellIs" dxfId="134" priority="135" operator="equal">
      <formula>$AS$57/2</formula>
    </cfRule>
  </conditionalFormatting>
  <conditionalFormatting sqref="AS38">
    <cfRule type="cellIs" dxfId="133" priority="134" operator="greaterThan">
      <formula>$AS$57/2</formula>
    </cfRule>
  </conditionalFormatting>
  <conditionalFormatting sqref="AS38">
    <cfRule type="cellIs" dxfId="132" priority="133" operator="lessThan">
      <formula>$AS$57/2</formula>
    </cfRule>
  </conditionalFormatting>
  <conditionalFormatting sqref="AS39">
    <cfRule type="cellIs" dxfId="131" priority="132" operator="equal">
      <formula>$AS$58/2</formula>
    </cfRule>
  </conditionalFormatting>
  <conditionalFormatting sqref="AS39">
    <cfRule type="cellIs" dxfId="130" priority="131" operator="greaterThan">
      <formula>$AS$58/2</formula>
    </cfRule>
  </conditionalFormatting>
  <conditionalFormatting sqref="AS39">
    <cfRule type="cellIs" dxfId="129" priority="130" operator="lessThan">
      <formula>$AS$58/2</formula>
    </cfRule>
  </conditionalFormatting>
  <conditionalFormatting sqref="AS40">
    <cfRule type="cellIs" dxfId="128" priority="129" operator="equal">
      <formula>$AS$59/2</formula>
    </cfRule>
  </conditionalFormatting>
  <conditionalFormatting sqref="AS40">
    <cfRule type="cellIs" dxfId="127" priority="128" operator="greaterThan">
      <formula>$AS$59/2</formula>
    </cfRule>
  </conditionalFormatting>
  <conditionalFormatting sqref="AS40">
    <cfRule type="cellIs" dxfId="126" priority="127" operator="lessThan">
      <formula>$AS$59/2</formula>
    </cfRule>
  </conditionalFormatting>
  <conditionalFormatting sqref="AS41">
    <cfRule type="cellIs" dxfId="125" priority="126" operator="equal">
      <formula>$AS$60/2</formula>
    </cfRule>
  </conditionalFormatting>
  <conditionalFormatting sqref="AS41">
    <cfRule type="cellIs" dxfId="124" priority="125" operator="greaterThan">
      <formula>$AS$60/2</formula>
    </cfRule>
  </conditionalFormatting>
  <conditionalFormatting sqref="AS41">
    <cfRule type="cellIs" dxfId="123" priority="124" operator="lessThan">
      <formula>$AS$60/2</formula>
    </cfRule>
  </conditionalFormatting>
  <conditionalFormatting sqref="AS42">
    <cfRule type="cellIs" dxfId="122" priority="123" operator="equal">
      <formula>$AS$61/2</formula>
    </cfRule>
  </conditionalFormatting>
  <conditionalFormatting sqref="AS42">
    <cfRule type="cellIs" dxfId="121" priority="122" operator="greaterThan">
      <formula>$AS$61/2</formula>
    </cfRule>
  </conditionalFormatting>
  <conditionalFormatting sqref="AS42">
    <cfRule type="cellIs" dxfId="120" priority="121" operator="lessThan">
      <formula>$AS$61/2</formula>
    </cfRule>
  </conditionalFormatting>
  <conditionalFormatting sqref="AS43">
    <cfRule type="cellIs" dxfId="119" priority="120" operator="equal">
      <formula>$AS$62/2</formula>
    </cfRule>
  </conditionalFormatting>
  <conditionalFormatting sqref="AS43">
    <cfRule type="cellIs" dxfId="118" priority="119" operator="greaterThan">
      <formula>$AS$62/2</formula>
    </cfRule>
  </conditionalFormatting>
  <conditionalFormatting sqref="AS43">
    <cfRule type="cellIs" dxfId="117" priority="118" operator="lessThan">
      <formula>$AS$62/2</formula>
    </cfRule>
  </conditionalFormatting>
  <conditionalFormatting sqref="AS44">
    <cfRule type="cellIs" dxfId="116" priority="117" operator="equal">
      <formula>$AS$63/2</formula>
    </cfRule>
  </conditionalFormatting>
  <conditionalFormatting sqref="AS44">
    <cfRule type="cellIs" dxfId="115" priority="116" operator="greaterThan">
      <formula>$AS$63/2</formula>
    </cfRule>
  </conditionalFormatting>
  <conditionalFormatting sqref="AS44">
    <cfRule type="cellIs" dxfId="114" priority="115" operator="lessThan">
      <formula>$AS$63/2</formula>
    </cfRule>
  </conditionalFormatting>
  <conditionalFormatting sqref="AT29">
    <cfRule type="cellIs" dxfId="113" priority="112" operator="lessThan">
      <formula>$AT$48/2</formula>
    </cfRule>
    <cfRule type="cellIs" dxfId="112" priority="113" operator="greaterThan">
      <formula>$AT$48/2</formula>
    </cfRule>
    <cfRule type="cellIs" dxfId="111" priority="114" operator="equal">
      <formula>$AT$48/2</formula>
    </cfRule>
  </conditionalFormatting>
  <conditionalFormatting sqref="AT31">
    <cfRule type="cellIs" dxfId="110" priority="109" operator="lessThan">
      <formula>$AT$50/2</formula>
    </cfRule>
    <cfRule type="cellIs" dxfId="109" priority="110" operator="greaterThan">
      <formula>$AT$50/2</formula>
    </cfRule>
    <cfRule type="cellIs" dxfId="108" priority="111" operator="equal">
      <formula>$AT$50/2</formula>
    </cfRule>
  </conditionalFormatting>
  <conditionalFormatting sqref="AT30">
    <cfRule type="cellIs" dxfId="107" priority="106" operator="lessThan">
      <formula>$AT$49/2</formula>
    </cfRule>
    <cfRule type="cellIs" dxfId="106" priority="107" operator="greaterThan">
      <formula>$AT$49/2</formula>
    </cfRule>
    <cfRule type="cellIs" dxfId="105" priority="108" operator="equal">
      <formula>$AT$49/2</formula>
    </cfRule>
  </conditionalFormatting>
  <conditionalFormatting sqref="AT32">
    <cfRule type="cellIs" dxfId="104" priority="100" operator="lessThan">
      <formula>$AT$51/2</formula>
    </cfRule>
    <cfRule type="cellIs" dxfId="103" priority="101" operator="greaterThan">
      <formula>$AT$51/2</formula>
    </cfRule>
    <cfRule type="cellIs" dxfId="102" priority="102" operator="equal">
      <formula>$AT$51/2</formula>
    </cfRule>
  </conditionalFormatting>
  <conditionalFormatting sqref="AT33">
    <cfRule type="cellIs" dxfId="101" priority="103" operator="lessThan">
      <formula>$AT$52/2</formula>
    </cfRule>
    <cfRule type="cellIs" dxfId="100" priority="104" operator="greaterThan">
      <formula>$AT$52/2</formula>
    </cfRule>
    <cfRule type="cellIs" dxfId="99" priority="105" operator="equal">
      <formula>$AT$52/2</formula>
    </cfRule>
  </conditionalFormatting>
  <conditionalFormatting sqref="AT34">
    <cfRule type="cellIs" dxfId="98" priority="97" operator="lessThan">
      <formula>$AT$53/2</formula>
    </cfRule>
    <cfRule type="cellIs" dxfId="97" priority="98" operator="greaterThan">
      <formula>$AT$53/2</formula>
    </cfRule>
    <cfRule type="cellIs" dxfId="96" priority="99" operator="equal">
      <formula>$AT$53/2</formula>
    </cfRule>
  </conditionalFormatting>
  <conditionalFormatting sqref="AT35">
    <cfRule type="cellIs" dxfId="95" priority="94" operator="lessThan">
      <formula>$AT$54/2</formula>
    </cfRule>
    <cfRule type="cellIs" dxfId="94" priority="95" operator="greaterThan">
      <formula>$AT$54/2</formula>
    </cfRule>
    <cfRule type="cellIs" dxfId="93" priority="96" operator="equal">
      <formula>$AT$54/2</formula>
    </cfRule>
  </conditionalFormatting>
  <conditionalFormatting sqref="AT36">
    <cfRule type="cellIs" dxfId="92" priority="91" operator="lessThan">
      <formula>$AT$55/2</formula>
    </cfRule>
    <cfRule type="cellIs" dxfId="91" priority="92" operator="greaterThan">
      <formula>$AT$55/2</formula>
    </cfRule>
    <cfRule type="cellIs" dxfId="90" priority="93" operator="equal">
      <formula>$AT$55/2</formula>
    </cfRule>
  </conditionalFormatting>
  <conditionalFormatting sqref="AT37">
    <cfRule type="cellIs" dxfId="89" priority="88" operator="lessThan">
      <formula>$AT$56/2</formula>
    </cfRule>
    <cfRule type="cellIs" dxfId="88" priority="89" operator="greaterThan">
      <formula>$AT$56/2</formula>
    </cfRule>
    <cfRule type="cellIs" dxfId="87" priority="90" operator="equal">
      <formula>$AT$56/2</formula>
    </cfRule>
  </conditionalFormatting>
  <conditionalFormatting sqref="AT38">
    <cfRule type="cellIs" dxfId="86" priority="85" operator="lessThan">
      <formula>$AT$57/2</formula>
    </cfRule>
    <cfRule type="cellIs" dxfId="85" priority="86" operator="greaterThan">
      <formula>$AT$57/2</formula>
    </cfRule>
    <cfRule type="cellIs" dxfId="84" priority="87" operator="equal">
      <formula>$AT$57/2</formula>
    </cfRule>
  </conditionalFormatting>
  <conditionalFormatting sqref="AT39">
    <cfRule type="cellIs" dxfId="83" priority="82" operator="lessThan">
      <formula>$AT$58/2</formula>
    </cfRule>
    <cfRule type="cellIs" dxfId="82" priority="83" operator="greaterThan">
      <formula>$AT$58/2</formula>
    </cfRule>
    <cfRule type="cellIs" dxfId="81" priority="84" operator="equal">
      <formula>$AT$58/2</formula>
    </cfRule>
  </conditionalFormatting>
  <conditionalFormatting sqref="AT40">
    <cfRule type="cellIs" dxfId="80" priority="79" operator="lessThan">
      <formula>$AT$59/2</formula>
    </cfRule>
    <cfRule type="cellIs" dxfId="79" priority="80" operator="greaterThan">
      <formula>$AT$59/2</formula>
    </cfRule>
    <cfRule type="cellIs" dxfId="78" priority="81" operator="equal">
      <formula>$AT$59/2</formula>
    </cfRule>
  </conditionalFormatting>
  <conditionalFormatting sqref="AT41">
    <cfRule type="cellIs" dxfId="77" priority="76" operator="lessThan">
      <formula>$AT$60/2</formula>
    </cfRule>
    <cfRule type="cellIs" dxfId="76" priority="77" operator="greaterThan">
      <formula>$AT$60/2</formula>
    </cfRule>
    <cfRule type="cellIs" dxfId="75" priority="78" operator="equal">
      <formula>$AT$60/2</formula>
    </cfRule>
  </conditionalFormatting>
  <conditionalFormatting sqref="AT42">
    <cfRule type="cellIs" dxfId="74" priority="73" operator="lessThan">
      <formula>$AT$61/2</formula>
    </cfRule>
    <cfRule type="cellIs" dxfId="73" priority="74" operator="greaterThan">
      <formula>$AT$61/2</formula>
    </cfRule>
    <cfRule type="cellIs" dxfId="72" priority="75" operator="equal">
      <formula>$AT$61/2</formula>
    </cfRule>
  </conditionalFormatting>
  <conditionalFormatting sqref="AT43">
    <cfRule type="cellIs" dxfId="71" priority="70" operator="lessThan">
      <formula>$AT$62/2</formula>
    </cfRule>
    <cfRule type="cellIs" dxfId="70" priority="71" operator="greaterThan">
      <formula>$AT$62/2</formula>
    </cfRule>
    <cfRule type="cellIs" dxfId="69" priority="72" operator="equal">
      <formula>$AT$62/2</formula>
    </cfRule>
  </conditionalFormatting>
  <conditionalFormatting sqref="AT44">
    <cfRule type="cellIs" dxfId="68" priority="67" operator="lessThan">
      <formula>$AT$63/2</formula>
    </cfRule>
    <cfRule type="cellIs" dxfId="67" priority="68" operator="greaterThan">
      <formula>$AT$63/2</formula>
    </cfRule>
    <cfRule type="cellIs" dxfId="66" priority="69" operator="equal">
      <formula>$AT$63/2</formula>
    </cfRule>
  </conditionalFormatting>
  <conditionalFormatting sqref="AT45">
    <cfRule type="cellIs" dxfId="65" priority="64" operator="lessThan">
      <formula>$AT$64/2</formula>
    </cfRule>
    <cfRule type="cellIs" dxfId="64" priority="65" operator="greaterThan">
      <formula>$AT$64/2</formula>
    </cfRule>
    <cfRule type="cellIs" dxfId="63" priority="66" operator="equal">
      <formula>$AT$64/2</formula>
    </cfRule>
  </conditionalFormatting>
  <conditionalFormatting sqref="AT46">
    <cfRule type="cellIs" dxfId="62" priority="61" operator="lessThan">
      <formula>$AT$65/2</formula>
    </cfRule>
    <cfRule type="cellIs" dxfId="61" priority="62" operator="greaterThan">
      <formula>$AT$65/2</formula>
    </cfRule>
    <cfRule type="cellIs" dxfId="60" priority="63" operator="equal">
      <formula>$AT$65/2</formula>
    </cfRule>
  </conditionalFormatting>
  <conditionalFormatting sqref="AJ45">
    <cfRule type="cellIs" dxfId="59" priority="60" operator="equal">
      <formula>$AJ$64/2</formula>
    </cfRule>
  </conditionalFormatting>
  <conditionalFormatting sqref="AJ45">
    <cfRule type="cellIs" dxfId="58" priority="59" operator="greaterThan">
      <formula>$AJ$64/2</formula>
    </cfRule>
  </conditionalFormatting>
  <conditionalFormatting sqref="AJ45">
    <cfRule type="cellIs" dxfId="57" priority="58" operator="lessThan">
      <formula>$AJ$64/2</formula>
    </cfRule>
  </conditionalFormatting>
  <conditionalFormatting sqref="AK45">
    <cfRule type="cellIs" dxfId="56" priority="57" operator="equal">
      <formula>$AK$64/2</formula>
    </cfRule>
  </conditionalFormatting>
  <conditionalFormatting sqref="AK45">
    <cfRule type="cellIs" dxfId="55" priority="56" operator="greaterThan">
      <formula>$AK$64/2</formula>
    </cfRule>
  </conditionalFormatting>
  <conditionalFormatting sqref="AK45">
    <cfRule type="cellIs" dxfId="54" priority="55" operator="lessThan">
      <formula>$AK$64/2</formula>
    </cfRule>
  </conditionalFormatting>
  <conditionalFormatting sqref="AL45">
    <cfRule type="cellIs" dxfId="53" priority="54" operator="equal">
      <formula>$AL$64/2</formula>
    </cfRule>
  </conditionalFormatting>
  <conditionalFormatting sqref="AL45">
    <cfRule type="cellIs" dxfId="52" priority="53" operator="greaterThan">
      <formula>$AL$64/2</formula>
    </cfRule>
  </conditionalFormatting>
  <conditionalFormatting sqref="AL45">
    <cfRule type="cellIs" dxfId="51" priority="52" operator="lessThan">
      <formula>$AL$64/2</formula>
    </cfRule>
  </conditionalFormatting>
  <conditionalFormatting sqref="AM45">
    <cfRule type="cellIs" dxfId="50" priority="51" operator="equal">
      <formula>$AM$64/2</formula>
    </cfRule>
  </conditionalFormatting>
  <conditionalFormatting sqref="AM45">
    <cfRule type="cellIs" dxfId="49" priority="50" operator="greaterThan">
      <formula>$AM$64/2</formula>
    </cfRule>
  </conditionalFormatting>
  <conditionalFormatting sqref="AM45">
    <cfRule type="cellIs" dxfId="48" priority="49" operator="lessThan">
      <formula>$AM$64/2</formula>
    </cfRule>
  </conditionalFormatting>
  <conditionalFormatting sqref="AN45">
    <cfRule type="cellIs" dxfId="47" priority="48" operator="equal">
      <formula>$AN$64/2</formula>
    </cfRule>
  </conditionalFormatting>
  <conditionalFormatting sqref="AN45">
    <cfRule type="cellIs" dxfId="46" priority="47" operator="greaterThan">
      <formula>$AN$64/2</formula>
    </cfRule>
  </conditionalFormatting>
  <conditionalFormatting sqref="AN45">
    <cfRule type="cellIs" dxfId="45" priority="46" operator="lessThan">
      <formula>$AN$64/2</formula>
    </cfRule>
  </conditionalFormatting>
  <conditionalFormatting sqref="AO45">
    <cfRule type="cellIs" dxfId="44" priority="45" operator="equal">
      <formula>$AO$64/2</formula>
    </cfRule>
  </conditionalFormatting>
  <conditionalFormatting sqref="AO45">
    <cfRule type="cellIs" dxfId="43" priority="44" operator="greaterThan">
      <formula>$AO$64/2</formula>
    </cfRule>
  </conditionalFormatting>
  <conditionalFormatting sqref="AO45">
    <cfRule type="cellIs" dxfId="42" priority="43" operator="lessThan">
      <formula>$AO$64/2</formula>
    </cfRule>
  </conditionalFormatting>
  <conditionalFormatting sqref="AP45">
    <cfRule type="cellIs" dxfId="41" priority="42" operator="equal">
      <formula>$AP$64/2</formula>
    </cfRule>
  </conditionalFormatting>
  <conditionalFormatting sqref="AP45">
    <cfRule type="cellIs" dxfId="40" priority="41" operator="greaterThan">
      <formula>$AP$64/2</formula>
    </cfRule>
  </conditionalFormatting>
  <conditionalFormatting sqref="AP45">
    <cfRule type="cellIs" dxfId="39" priority="40" operator="lessThan">
      <formula>$AP$64/2</formula>
    </cfRule>
  </conditionalFormatting>
  <conditionalFormatting sqref="AQ45">
    <cfRule type="cellIs" dxfId="38" priority="39" operator="equal">
      <formula>$AQ$64/2</formula>
    </cfRule>
  </conditionalFormatting>
  <conditionalFormatting sqref="AQ45">
    <cfRule type="cellIs" dxfId="37" priority="38" operator="greaterThan">
      <formula>$AQ$64/2</formula>
    </cfRule>
  </conditionalFormatting>
  <conditionalFormatting sqref="AQ45">
    <cfRule type="cellIs" dxfId="36" priority="37" operator="lessThan">
      <formula>$AQ$64/2</formula>
    </cfRule>
  </conditionalFormatting>
  <conditionalFormatting sqref="AR45">
    <cfRule type="cellIs" dxfId="35" priority="36" operator="equal">
      <formula>$AR$64/2</formula>
    </cfRule>
  </conditionalFormatting>
  <conditionalFormatting sqref="AR45">
    <cfRule type="cellIs" dxfId="34" priority="35" operator="greaterThan">
      <formula>$AR$64/2</formula>
    </cfRule>
  </conditionalFormatting>
  <conditionalFormatting sqref="AR45">
    <cfRule type="cellIs" dxfId="33" priority="34" operator="lessThan">
      <formula>$AR$64/2</formula>
    </cfRule>
  </conditionalFormatting>
  <conditionalFormatting sqref="AS45">
    <cfRule type="cellIs" dxfId="32" priority="33" operator="equal">
      <formula>$AS$64/2</formula>
    </cfRule>
  </conditionalFormatting>
  <conditionalFormatting sqref="AS45">
    <cfRule type="cellIs" dxfId="31" priority="32" operator="greaterThan">
      <formula>$AS$64/2</formula>
    </cfRule>
  </conditionalFormatting>
  <conditionalFormatting sqref="AS45">
    <cfRule type="cellIs" dxfId="30" priority="31" operator="lessThan">
      <formula>$AS$64/2</formula>
    </cfRule>
  </conditionalFormatting>
  <conditionalFormatting sqref="AJ46">
    <cfRule type="cellIs" dxfId="29" priority="30" operator="equal">
      <formula>$AJ$65/2</formula>
    </cfRule>
  </conditionalFormatting>
  <conditionalFormatting sqref="AJ46">
    <cfRule type="cellIs" dxfId="28" priority="29" operator="greaterThan">
      <formula>$AJ$65/2</formula>
    </cfRule>
  </conditionalFormatting>
  <conditionalFormatting sqref="AJ46">
    <cfRule type="cellIs" dxfId="27" priority="28" operator="lessThan">
      <formula>$AJ$65/2</formula>
    </cfRule>
  </conditionalFormatting>
  <conditionalFormatting sqref="AK46">
    <cfRule type="cellIs" dxfId="26" priority="27" operator="equal">
      <formula>$AK$65/2</formula>
    </cfRule>
  </conditionalFormatting>
  <conditionalFormatting sqref="AK46">
    <cfRule type="cellIs" dxfId="25" priority="26" operator="greaterThan">
      <formula>$AK$65/2</formula>
    </cfRule>
  </conditionalFormatting>
  <conditionalFormatting sqref="AK46">
    <cfRule type="cellIs" dxfId="24" priority="25" operator="lessThan">
      <formula>$AK$65/2</formula>
    </cfRule>
  </conditionalFormatting>
  <conditionalFormatting sqref="AL46">
    <cfRule type="cellIs" dxfId="23" priority="24" operator="equal">
      <formula>$AL$65/2</formula>
    </cfRule>
  </conditionalFormatting>
  <conditionalFormatting sqref="AL46">
    <cfRule type="cellIs" dxfId="22" priority="23" operator="greaterThan">
      <formula>$AL$65/2</formula>
    </cfRule>
  </conditionalFormatting>
  <conditionalFormatting sqref="AL46">
    <cfRule type="cellIs" dxfId="21" priority="22" operator="lessThan">
      <formula>$AL$65/2</formula>
    </cfRule>
  </conditionalFormatting>
  <conditionalFormatting sqref="AM46">
    <cfRule type="cellIs" dxfId="20" priority="21" operator="equal">
      <formula>$AM$65/2</formula>
    </cfRule>
  </conditionalFormatting>
  <conditionalFormatting sqref="AM46">
    <cfRule type="cellIs" dxfId="19" priority="20" operator="greaterThan">
      <formula>$AM$65/2</formula>
    </cfRule>
  </conditionalFormatting>
  <conditionalFormatting sqref="AM46">
    <cfRule type="cellIs" dxfId="18" priority="19" operator="lessThan">
      <formula>$AM$65/2</formula>
    </cfRule>
  </conditionalFormatting>
  <conditionalFormatting sqref="AN46">
    <cfRule type="cellIs" dxfId="17" priority="18" operator="equal">
      <formula>$AN$65/2</formula>
    </cfRule>
  </conditionalFormatting>
  <conditionalFormatting sqref="AN46">
    <cfRule type="cellIs" dxfId="16" priority="17" operator="greaterThan">
      <formula>$AN$65/2</formula>
    </cfRule>
  </conditionalFormatting>
  <conditionalFormatting sqref="AN46">
    <cfRule type="cellIs" dxfId="15" priority="16" operator="lessThan">
      <formula>$AN$65/2</formula>
    </cfRule>
  </conditionalFormatting>
  <conditionalFormatting sqref="AO46">
    <cfRule type="cellIs" dxfId="14" priority="15" operator="equal">
      <formula>$AO$65/2</formula>
    </cfRule>
  </conditionalFormatting>
  <conditionalFormatting sqref="AO46">
    <cfRule type="cellIs" dxfId="13" priority="14" operator="greaterThan">
      <formula>$AO$65/2</formula>
    </cfRule>
  </conditionalFormatting>
  <conditionalFormatting sqref="AO46">
    <cfRule type="cellIs" dxfId="12" priority="13" operator="lessThan">
      <formula>$AO$65/2</formula>
    </cfRule>
  </conditionalFormatting>
  <conditionalFormatting sqref="AP46">
    <cfRule type="cellIs" dxfId="11" priority="12" operator="equal">
      <formula>$AP$65/2</formula>
    </cfRule>
  </conditionalFormatting>
  <conditionalFormatting sqref="AP46">
    <cfRule type="cellIs" dxfId="10" priority="11" operator="greaterThan">
      <formula>$AP$65/2</formula>
    </cfRule>
  </conditionalFormatting>
  <conditionalFormatting sqref="AP46">
    <cfRule type="cellIs" dxfId="9" priority="10" operator="lessThan">
      <formula>$AP$65/2</formula>
    </cfRule>
  </conditionalFormatting>
  <conditionalFormatting sqref="AQ46">
    <cfRule type="cellIs" dxfId="8" priority="9" operator="equal">
      <formula>$AQ$65/2</formula>
    </cfRule>
  </conditionalFormatting>
  <conditionalFormatting sqref="AQ46">
    <cfRule type="cellIs" dxfId="7" priority="8" operator="greaterThan">
      <formula>$AQ$65/2</formula>
    </cfRule>
  </conditionalFormatting>
  <conditionalFormatting sqref="AQ46">
    <cfRule type="cellIs" dxfId="6" priority="7" operator="lessThan">
      <formula>$AQ$65/2</formula>
    </cfRule>
  </conditionalFormatting>
  <conditionalFormatting sqref="AR46">
    <cfRule type="cellIs" dxfId="5" priority="6" operator="equal">
      <formula>$AR$65/2</formula>
    </cfRule>
  </conditionalFormatting>
  <conditionalFormatting sqref="AR46">
    <cfRule type="cellIs" dxfId="4" priority="5" operator="greaterThan">
      <formula>$AR$65/2</formula>
    </cfRule>
  </conditionalFormatting>
  <conditionalFormatting sqref="AR46">
    <cfRule type="cellIs" dxfId="3" priority="4" operator="lessThan">
      <formula>$AR$65/2</formula>
    </cfRule>
  </conditionalFormatting>
  <conditionalFormatting sqref="AS46">
    <cfRule type="cellIs" dxfId="2" priority="3" operator="equal">
      <formula>$AS$65/2</formula>
    </cfRule>
  </conditionalFormatting>
  <conditionalFormatting sqref="AS46">
    <cfRule type="cellIs" dxfId="1" priority="2" operator="greaterThan">
      <formula>$AS$65/2</formula>
    </cfRule>
  </conditionalFormatting>
  <conditionalFormatting sqref="AS46">
    <cfRule type="cellIs" dxfId="0" priority="1" operator="lessThan">
      <formula>$AS$65/2</formula>
    </cfRule>
  </conditionalFormatting>
  <pageMargins left="0.7" right="0.7" top="0.75" bottom="0.75" header="0.3" footer="0.3"/>
  <pageSetup paperSize="9" scale="51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Расписание</vt:lpstr>
      <vt:lpstr>Расписание!Область_печати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ARM3</dc:creator>
  <cp:lastModifiedBy>1</cp:lastModifiedBy>
  <cp:lastPrinted>2023-06-21T07:28:36Z</cp:lastPrinted>
  <dcterms:created xsi:type="dcterms:W3CDTF">2015-06-05T18:17:20Z</dcterms:created>
  <dcterms:modified xsi:type="dcterms:W3CDTF">2026-02-15T18:21:17Z</dcterms:modified>
</cp:coreProperties>
</file>